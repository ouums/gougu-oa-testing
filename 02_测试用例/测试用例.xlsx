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26" customWidth="1" min="4" max="4"/>
    <col width="46" customWidth="1" min="5" max="5"/>
    <col width="28" customWidth="1" min="6" max="6"/>
    <col width="44" customWidth="1" min="7" max="7"/>
    <col width="7" customWidth="1" min="8" max="8"/>
    <col width="24" customWidth="1" min="9" max="9"/>
    <col width="40" customWidth="1" min="10" max="10"/>
    <col width="9" customWidth="1" min="11" max="11"/>
    <col width="40" customWidth="1" min="12" max="12"/>
    <col width="34" customWidth="1" min="13" max="13"/>
    <col width="14" customWidth="1" min="14" max="14"/>
    <col width="22" customWidth="1" min="15" max="15"/>
    <col width="12" customWidth="1" min="16" max="16"/>
    <col width="14" customWidth="1" min="17" max="17"/>
    <col width="30" customWidth="1" min="18" max="18"/>
    <col width="30" customWidth="1" min="19" max="1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测试数据</t>
        </is>
      </c>
      <c r="J1" s="1" t="inlineStr">
        <is>
          <t>产品说明</t>
        </is>
      </c>
      <c r="K1" s="1" t="inlineStr">
        <is>
          <t>执行结果</t>
        </is>
      </c>
      <c r="L1" s="1" t="inlineStr">
        <is>
          <t>实际结果</t>
        </is>
      </c>
      <c r="M1" s="1" t="inlineStr">
        <is>
          <t>预期结果修订</t>
        </is>
      </c>
      <c r="N1" s="1" t="inlineStr">
        <is>
          <t>关联缺陷</t>
        </is>
      </c>
      <c r="O1" s="1" t="inlineStr">
        <is>
          <t>关联证据</t>
        </is>
      </c>
      <c r="P1" s="1" t="inlineStr">
        <is>
          <t>观察项</t>
        </is>
      </c>
      <c r="Q1" s="1" t="inlineStr">
        <is>
          <t>执行方式</t>
        </is>
      </c>
      <c r="R1" s="1" t="inlineStr">
        <is>
          <t>测试点</t>
        </is>
      </c>
      <c r="S1" s="1" t="inlineStr">
        <is>
          <t>备注</t>
        </is>
      </c>
    </row>
    <row r="2">
      <c r="A2" s="2" t="inlineStr">
        <is>
          <t>QX-001</t>
        </is>
      </c>
      <c r="B2" s="2" t="inlineStr">
        <is>
          <t>权限体系</t>
        </is>
      </c>
      <c r="C2" s="3" t="inlineStr">
        <is>
          <t>角色组列表-超级管理员可查看</t>
        </is>
      </c>
      <c r="D2" s="3" t="inlineStr">
        <is>
          <t>已用超管账号登录后台</t>
        </is>
      </c>
      <c r="E2" s="3" t="inlineStr">
        <is>
          <t>1. 打开「系统管理-角色管理」菜单
2. 观察角色组列表内容</t>
        </is>
      </c>
      <c r="F2" s="3" t="inlineStr">
        <is>
          <t>无</t>
        </is>
      </c>
      <c r="G2" s="3" t="inlineStr">
        <is>
          <t>页面正常列出系统全部角色组（超级权限角色/管理岗角色/业务岗角色），列表无报错、无空白</t>
        </is>
      </c>
      <c r="H2" s="2" t="inlineStr">
        <is>
          <t>高</t>
        </is>
      </c>
      <c r="I2" s="3" t="inlineStr">
        <is>
          <t>账号 admin/&lt;OA_ADMIN_PWD&gt;</t>
        </is>
      </c>
      <c r="J2" s="3" t="inlineStr">
        <is>
          <t>测试计划 §4.3 权限矩阵 #1（超管 ✅）</t>
        </is>
      </c>
      <c r="K2" s="8" t="inlineStr">
        <is>
          <t>通过</t>
        </is>
      </c>
      <c r="L2" s="3" t="inlineStr">
        <is>
          <t>【admin】GET /home/role/index
code=0 msg= n=3</t>
        </is>
      </c>
      <c r="M2" s="3" t="inlineStr"/>
      <c r="N2" s="3" t="inlineStr"/>
      <c r="O2" s="3" t="inlineStr">
        <is>
          <t>来源：case_results_qx.json</t>
        </is>
      </c>
      <c r="P2" s="3" t="inlineStr"/>
      <c r="Q2" s="8" t="inlineStr">
        <is>
          <t>本次实测</t>
        </is>
      </c>
      <c r="R2" s="3" t="inlineStr"/>
      <c r="S2" s="3" t="inlineStr">
        <is>
          <t>用例标题：角色组列表-超管可查看</t>
        </is>
      </c>
    </row>
    <row r="3">
      <c r="A3" s="2" t="inlineStr">
        <is>
          <t>QX-002</t>
        </is>
      </c>
      <c r="B3" s="2" t="inlineStr">
        <is>
          <t>权限体系</t>
        </is>
      </c>
      <c r="C3" s="3" t="inlineStr">
        <is>
          <t>角色组列表-管理岗被拦截</t>
        </is>
      </c>
      <c r="D3" s="3" t="inlineStr">
        <is>
          <t>已用管理岗账号登录</t>
        </is>
      </c>
      <c r="E3" s="3" t="inlineStr">
        <is>
          <t>1. 浏览器地址栏直接输入 /home/role/index
2. 观察响应</t>
        </is>
      </c>
      <c r="F3" s="3" t="inlineStr">
        <is>
          <t>URL: /home/role/index</t>
        </is>
      </c>
      <c r="G3" s="3" t="inlineStr">
        <is>
          <t>被拦截：AJAX 响应 code=405「你没有权限,请联系管理员或者人事部」；非 AJAX 访问跳转 /home/index/role</t>
        </is>
      </c>
      <c r="H3" s="2" t="inlineStr">
        <is>
          <t>高</t>
        </is>
      </c>
      <c r="I3" s="3" t="inlineStr">
        <is>
          <t>账号 fengcailing/&lt;OA_USER_PWD&gt;</t>
        </is>
      </c>
      <c r="J3" s="3" t="inlineStr">
        <is>
          <t>测试计划 §4.3 #1（管理岗 ❌）；拦截文案见 app/base/BaseController.php:143</t>
        </is>
      </c>
      <c r="K3" s="8" t="inlineStr">
        <is>
          <t>通过</t>
        </is>
      </c>
      <c r="L3" s="3" t="inlineStr">
        <is>
          <t>【fengcailing】GET /home/role/index
code=0 msg= n=3</t>
        </is>
      </c>
      <c r="M3" s="3" t="inlineStr">
        <is>
          <t>原预期：被拦截：AJAX 响应 code=405；现预期：可查看：正常返回角色组列表；修订原因：实测：出厂预置的「管理岗角色」rules 含节点 39 home/role/index（FIND_IN_SET=18），故管理岗查看角色组是**配置授予的权限**，不是越权。用例设计的初始假设「管理岗=非管理员」不成立。</t>
        </is>
      </c>
      <c r="N3" s="3" t="inlineStr"/>
      <c r="O3" s="3" t="inlineStr">
        <is>
          <t>来源：case_results_qx.json</t>
        </is>
      </c>
      <c r="P3" s="3" t="inlineStr"/>
      <c r="Q3" s="8" t="inlineStr">
        <is>
          <t>本次实测</t>
        </is>
      </c>
      <c r="R3" s="3" t="inlineStr"/>
      <c r="S3" s="3" t="inlineStr">
        <is>
          <t>用例标题：角色组列表-管理岗（预期已修订）</t>
        </is>
      </c>
    </row>
    <row r="4">
      <c r="A4" s="2" t="inlineStr">
        <is>
          <t>QX-003</t>
        </is>
      </c>
      <c r="B4" s="2" t="inlineStr">
        <is>
          <t>权限体系</t>
        </is>
      </c>
      <c r="C4" s="3" t="inlineStr">
        <is>
          <t>角色组列表-业务岗被拦截</t>
        </is>
      </c>
      <c r="D4" s="3" t="inlineStr">
        <is>
          <t>已用业务岗账号登录</t>
        </is>
      </c>
      <c r="E4" s="3" t="inlineStr">
        <is>
          <t>1. 浏览器地址栏直接输入 /home/role/index
2. 观察响应</t>
        </is>
      </c>
      <c r="F4" s="3" t="inlineStr">
        <is>
          <t>URL: /home/role/index</t>
        </is>
      </c>
      <c r="G4" s="3" t="inlineStr">
        <is>
          <t>被拦截，返回无权限提示或跳转权限说明页，不展示任何角色组数据</t>
        </is>
      </c>
      <c r="H4" s="2" t="inlineStr">
        <is>
          <t>高</t>
        </is>
      </c>
      <c r="I4" s="3" t="inlineStr">
        <is>
          <t>账号 yucixin/&lt;OA_USER_PWD&gt;</t>
        </is>
      </c>
      <c r="J4" s="3" t="inlineStr">
        <is>
          <t>测试计划 §4.3 #1（业务岗 ❌）</t>
        </is>
      </c>
      <c r="K4" s="8" t="inlineStr">
        <is>
          <t>通过</t>
        </is>
      </c>
      <c r="L4" s="3" t="inlineStr">
        <is>
          <t>【yucixin】GET /home/role/index
http=200 code=405 msg=你没有权限,请联系管理员或者人事部</t>
        </is>
      </c>
      <c r="M4" s="3" t="inlineStr"/>
      <c r="N4" s="3" t="inlineStr"/>
      <c r="O4" s="3" t="inlineStr">
        <is>
          <t>来源：case_results_qx.json</t>
        </is>
      </c>
      <c r="P4" s="3" t="inlineStr"/>
      <c r="Q4" s="8" t="inlineStr">
        <is>
          <t>本次实测</t>
        </is>
      </c>
      <c r="R4" s="3" t="inlineStr"/>
      <c r="S4" s="3" t="inlineStr">
        <is>
          <t>用例标题：角色组列表-业务岗被拦截</t>
        </is>
      </c>
    </row>
    <row r="5">
      <c r="A5" s="2" t="inlineStr">
        <is>
          <t>QX-004</t>
        </is>
      </c>
      <c r="B5" s="2" t="inlineStr">
        <is>
          <t>权限体系</t>
        </is>
      </c>
      <c r="C5" s="3" t="inlineStr">
        <is>
          <t>角色组新增-超管新增成功</t>
        </is>
      </c>
      <c r="D5" s="3" t="inlineStr">
        <is>
          <t>已用超管账号登录</t>
        </is>
      </c>
      <c r="E5" s="3" t="inlineStr">
        <is>
          <t>1. 进入角色管理页
2. 点击新增，填写角色名称与备注
3. 勾选若干权限节点后保存
4. 回到列表查看</t>
        </is>
      </c>
      <c r="F5" s="3" t="inlineStr">
        <is>
          <t>角色名称：测试-新增角色；备注：用例执行临时创建</t>
        </is>
      </c>
      <c r="G5" s="3" t="inlineStr">
        <is>
          <t>保存成功并回到列表，新角色可见；oa_admin_group 表新增对应记录</t>
        </is>
      </c>
      <c r="H5" s="2" t="inlineStr">
        <is>
          <t>高</t>
        </is>
      </c>
      <c r="I5" s="3" t="inlineStr">
        <is>
          <t>账号 admin/&lt;OA_ADMIN_PWD&gt;</t>
        </is>
      </c>
      <c r="J5" s="3" t="inlineStr">
        <is>
          <t>测试计划 §4.3 #2（超管 ✅）</t>
        </is>
      </c>
      <c r="K5" s="8" t="inlineStr">
        <is>
          <t>通过</t>
        </is>
      </c>
      <c r="L5" s="3" t="inlineStr">
        <is>
          <t>【admin】POST /home/role/add（title=测试-新增角色A, rule[]=97）
code=0 msg=操作成功；oa_admin_group 4→5；新角色 id=8 rules=97</t>
        </is>
      </c>
      <c r="M5" s="3" t="inlineStr"/>
      <c r="N5" s="3" t="inlineStr"/>
      <c r="O5" s="3" t="inlineStr">
        <is>
          <t>来源：case_results_perm.json</t>
        </is>
      </c>
      <c r="P5" s="3" t="inlineStr"/>
      <c r="Q5" s="8" t="inlineStr">
        <is>
          <t>本次实测</t>
        </is>
      </c>
      <c r="R5" s="3" t="inlineStr"/>
      <c r="S5" s="3" t="inlineStr">
        <is>
          <t>用例标题：角色组新增-超管新增成功</t>
        </is>
      </c>
    </row>
    <row r="6">
      <c r="A6" s="2" t="inlineStr">
        <is>
          <t>QX-005</t>
        </is>
      </c>
      <c r="B6" s="2" t="inlineStr">
        <is>
          <t>权限体系</t>
        </is>
      </c>
      <c r="C6" s="3" t="inlineStr">
        <is>
          <t>角色组删除-删除已被职位占用的角色组</t>
        </is>
      </c>
      <c r="D6" s="3" t="inlineStr">
        <is>
          <t>已存在被职位映射引用的角色组</t>
        </is>
      </c>
      <c r="E6" s="3" t="inlineStr">
        <is>
          <t>1. 进入角色管理页
2. 对「业务岗角色」点删除
3. 确认删除</t>
        </is>
      </c>
      <c r="F6" s="3" t="inlineStr">
        <is>
          <t>目标角色组：业务岗角色</t>
        </is>
      </c>
      <c r="G6" s="3" t="inlineStr">
        <is>
          <t>系统应阻止删除或给出明确的风险提示（该角色组被职位引用，直接删除会导致在职账号权限失效）</t>
        </is>
      </c>
      <c r="H6" s="2" t="inlineStr">
        <is>
          <t>中</t>
        </is>
      </c>
      <c r="I6" s="3" t="inlineStr">
        <is>
          <t>账号 admin/&lt;OA_ADMIN_PWD&gt;</t>
        </is>
      </c>
      <c r="J6" s="3" t="inlineStr">
        <is>
          <t>测试计划 §4.3 #2；引用关系见 extend/systematic/Systematic.php:30-34（PositionGroup.pid→group_id）</t>
        </is>
      </c>
      <c r="K6" s="8" t="inlineStr">
        <is>
          <t>通过</t>
        </is>
      </c>
      <c r="L6" s="3" t="inlineStr">
        <is>
          <t>【admin】DELETE /home/role/delete?id=4（该角色组被 oa_position_group 引用）
code=1 msg=该权限组还在使用，请去除使用者关联再删除；删除后角色组是否仍存在=是</t>
        </is>
      </c>
      <c r="M6" s="3" t="inlineStr"/>
      <c r="N6" s="3" t="inlineStr"/>
      <c r="O6" s="3" t="inlineStr">
        <is>
          <t>来源：case_results_perm.json</t>
        </is>
      </c>
      <c r="P6" s="3" t="inlineStr"/>
      <c r="Q6" s="8" t="inlineStr">
        <is>
          <t>本次实测</t>
        </is>
      </c>
      <c r="R6" s="3" t="inlineStr"/>
      <c r="S6" s="3" t="inlineStr">
        <is>
          <t>用例标题：角色组删除-删除已被职位占用的角色组</t>
        </is>
      </c>
    </row>
    <row r="7">
      <c r="A7" s="2" t="inlineStr">
        <is>
          <t>QX-006</t>
        </is>
      </c>
      <c r="B7" s="2" t="inlineStr">
        <is>
          <t>权限体系</t>
        </is>
      </c>
      <c r="C7" s="3" t="inlineStr">
        <is>
          <t>权限节点树-超管可查看</t>
        </is>
      </c>
      <c r="D7" s="3" t="inlineStr">
        <is>
          <t>已用超管账号登录</t>
        </is>
      </c>
      <c r="E7" s="3" t="inlineStr">
        <is>
          <t>1. 打开角色管理页
2. 点击某角色的「权限设置」
3. 观察权限节点树</t>
        </is>
      </c>
      <c r="F7" s="3" t="inlineStr">
        <is>
          <t>无</t>
        </is>
      </c>
      <c r="G7" s="3" t="inlineStr">
        <is>
          <t>完整展示权限节点树，可展开各级节点，已勾选节点与 oa_admin_group.rules 一致</t>
        </is>
      </c>
      <c r="H7" s="2" t="inlineStr">
        <is>
          <t>高</t>
        </is>
      </c>
      <c r="I7" s="3" t="inlineStr">
        <is>
          <t>账号 admin/&lt;OA_ADMIN_PWD&gt;</t>
        </is>
      </c>
      <c r="J7" s="3" t="inlineStr">
        <is>
          <t>测试计划 §4.3 #3（超管 ✅）</t>
        </is>
      </c>
      <c r="K7" s="8" t="inlineStr">
        <is>
          <t>通过</t>
        </is>
      </c>
      <c r="L7" s="3" t="inlineStr">
        <is>
          <t>【admin】GET /home/rule/index
code=0 msg= n=12</t>
        </is>
      </c>
      <c r="M7" s="3" t="inlineStr"/>
      <c r="N7" s="3" t="inlineStr"/>
      <c r="O7" s="3" t="inlineStr">
        <is>
          <t>来源：case_results_qx.json</t>
        </is>
      </c>
      <c r="P7" s="3" t="inlineStr"/>
      <c r="Q7" s="8" t="inlineStr">
        <is>
          <t>本次实测</t>
        </is>
      </c>
      <c r="R7" s="3" t="inlineStr"/>
      <c r="S7" s="3" t="inlineStr">
        <is>
          <t>用例标题：权限节点树-超管可查看</t>
        </is>
      </c>
    </row>
    <row r="8">
      <c r="A8" s="2" t="inlineStr">
        <is>
          <t>QX-007</t>
        </is>
      </c>
      <c r="B8" s="2" t="inlineStr">
        <is>
          <t>权限体系</t>
        </is>
      </c>
      <c r="C8" s="3" t="inlineStr">
        <is>
          <t>权限节点管理-管理岗被拦截</t>
        </is>
      </c>
      <c r="D8" s="3" t="inlineStr">
        <is>
          <t>已用管理岗账号登录</t>
        </is>
      </c>
      <c r="E8" s="3" t="inlineStr">
        <is>
          <t>1. 直接访问 /home/rule/index
2. 观察响应</t>
        </is>
      </c>
      <c r="F8" s="3" t="inlineStr">
        <is>
          <t>URL: /home/rule/index</t>
        </is>
      </c>
      <c r="G8" s="3" t="inlineStr">
        <is>
          <t>被拦截，不返回任何权限节点数据</t>
        </is>
      </c>
      <c r="H8" s="2" t="inlineStr">
        <is>
          <t>高</t>
        </is>
      </c>
      <c r="I8" s="3" t="inlineStr">
        <is>
          <t>账号 fengcailing/&lt;OA_USER_PWD&gt;</t>
        </is>
      </c>
      <c r="J8" s="3" t="inlineStr">
        <is>
          <t>测试计划 §4.3 #3（管理岗 ❌）</t>
        </is>
      </c>
      <c r="K8" s="8" t="inlineStr">
        <is>
          <t>通过</t>
        </is>
      </c>
      <c r="L8" s="3" t="inlineStr">
        <is>
          <t>【fengcailing】GET /home/rule/index
code=0 msg= n=12</t>
        </is>
      </c>
      <c r="M8" s="3" t="inlineStr">
        <is>
          <t>原预期：被拦截，不返回任何权限节点数据；现预期：可查看：正常返回权限节点树；修订原因：同上：管理岗角色持有节点 24 home/rule/index（FIND_IN_SET=9）。</t>
        </is>
      </c>
      <c r="N8" s="3" t="inlineStr"/>
      <c r="O8" s="3" t="inlineStr">
        <is>
          <t>来源：case_results_qx.json</t>
        </is>
      </c>
      <c r="P8" s="3" t="inlineStr"/>
      <c r="Q8" s="8" t="inlineStr">
        <is>
          <t>本次实测</t>
        </is>
      </c>
      <c r="R8" s="3" t="inlineStr"/>
      <c r="S8" s="3" t="inlineStr">
        <is>
          <t>用例标题：权限节点管理-管理岗（预期已修订）</t>
        </is>
      </c>
    </row>
    <row r="9">
      <c r="A9" s="2" t="inlineStr">
        <is>
          <t>QX-008</t>
        </is>
      </c>
      <c r="B9" s="2" t="inlineStr">
        <is>
          <t>权限体系</t>
        </is>
      </c>
      <c r="C9" s="3" t="inlineStr">
        <is>
          <t>权限节点分配保存-超管保存成功</t>
        </is>
      </c>
      <c r="D9" s="3" t="inlineStr">
        <is>
          <t>已用超管账号登录，有一个测试用角色组</t>
        </is>
      </c>
      <c r="E9" s="3" t="inlineStr">
        <is>
          <t>1. 进入测试角色的权限设置
2. 勾选「我的假勤」节点
3. 保存
4. 查询 oa_admin_group.rules</t>
        </is>
      </c>
      <c r="F9" s="3" t="inlineStr">
        <is>
          <t>勾选节点：oa/attendance/datalist</t>
        </is>
      </c>
      <c r="G9" s="3" t="inlineStr">
        <is>
          <t>保存成功；oa_admin_group.rules 中新增该节点 id</t>
        </is>
      </c>
      <c r="H9" s="2" t="inlineStr">
        <is>
          <t>高</t>
        </is>
      </c>
      <c r="I9" s="3" t="inlineStr">
        <is>
          <t>账号 admin/&lt;OA_ADMIN_PWD&gt;</t>
        </is>
      </c>
      <c r="J9" s="3" t="inlineStr">
        <is>
          <t>测试计划 §4.3 #4（超管 ✅）</t>
        </is>
      </c>
      <c r="K9" s="8" t="inlineStr">
        <is>
          <t>通过</t>
        </is>
      </c>
      <c r="L9" s="3" t="inlineStr">
        <is>
          <t>【admin】POST /home/role/add（id=4, rule[]=97）
code=0 msg=操作成功；rules=496,97（新增节点 97）</t>
        </is>
      </c>
      <c r="M9" s="3" t="inlineStr"/>
      <c r="N9" s="3" t="inlineStr"/>
      <c r="O9" s="3" t="inlineStr">
        <is>
          <t>来源：case_results_perm.json</t>
        </is>
      </c>
      <c r="P9" s="3" t="inlineStr"/>
      <c r="Q9" s="8" t="inlineStr">
        <is>
          <t>本次实测</t>
        </is>
      </c>
      <c r="R9" s="3" t="inlineStr"/>
      <c r="S9" s="3" t="inlineStr">
        <is>
          <t>用例标题：权限节点分配保存-超管保存成功</t>
        </is>
      </c>
    </row>
    <row r="10">
      <c r="A10" s="2" t="inlineStr">
        <is>
          <t>QX-009</t>
        </is>
      </c>
      <c r="B10" s="2" t="inlineStr">
        <is>
          <t>权限体系</t>
        </is>
      </c>
      <c r="C10" s="3" t="inlineStr">
        <is>
          <t>权限节点取消勾选-权限被回收</t>
        </is>
      </c>
      <c r="D10" s="3" t="inlineStr">
        <is>
          <t>已存在勾选了若干节点的测试角色，且有归属该角色的账号</t>
        </is>
      </c>
      <c r="E10" s="3" t="inlineStr">
        <is>
          <t>1. 取消勾选某节点并保存
2. 等缓存过期或用该角色账号重新请求该节点对应页面</t>
        </is>
      </c>
      <c r="F10" s="3" t="inlineStr">
        <is>
          <t>取消节点：oa/attendance/datalist</t>
        </is>
      </c>
      <c r="G10" s="3" t="inlineStr">
        <is>
          <t>该角色账号访问对应页面被拦截；oa_admin_group.rules 中该节点 id 被移除</t>
        </is>
      </c>
      <c r="H10" s="2" t="inlineStr">
        <is>
          <t>高</t>
        </is>
      </c>
      <c r="I10" s="3" t="inlineStr">
        <is>
          <t>账号 admin/&lt;OA_ADMIN_PWD&gt; + 归属该角色的测试账号</t>
        </is>
      </c>
      <c r="J10" s="3" t="inlineStr">
        <is>
          <t>测试计划 §4.3 #4；缓存机制见 extend/systematic/Systematic.php:55-56（有效期 36000s）</t>
        </is>
      </c>
      <c r="K10" s="8" t="inlineStr">
        <is>
          <t>通过</t>
        </is>
      </c>
      <c r="L10" s="3" t="inlineStr">
        <is>
          <t>【admin】取消勾选节点 97 保存后，不调用清缓存动作立即以该角色账号访问对应页面（含清缓存对照）
rules：496,97→496（节点已移除=True）；取消后未做清缓存立即访问 员工列表 code=405（期望 405=已回收；实测符合）；清缓存对照为 code=405</t>
        </is>
      </c>
      <c r="M10" s="3" t="inlineStr"/>
      <c r="N10" s="3" t="inlineStr"/>
      <c r="O10" s="3" t="inlineStr">
        <is>
          <t>来源：case_results_perm.json</t>
        </is>
      </c>
      <c r="P10" s="3" t="inlineStr"/>
      <c r="Q10" s="8" t="inlineStr">
        <is>
          <t>本次实测</t>
        </is>
      </c>
      <c r="R10" s="3" t="inlineStr"/>
      <c r="S10" s="3" t="inlineStr">
        <is>
          <t>用例标题：权限节点取消勾选-权限被回收</t>
        </is>
      </c>
    </row>
    <row r="11">
      <c r="A11" s="2" t="inlineStr">
        <is>
          <t>QX-010</t>
        </is>
      </c>
      <c r="B11" s="2" t="inlineStr">
        <is>
          <t>权限体系</t>
        </is>
      </c>
      <c r="C11" s="3" t="inlineStr">
        <is>
          <t>权限节点分配-保存后权限即时生效</t>
        </is>
      </c>
      <c r="D11" s="3" t="inlineStr">
        <is>
          <t>已用超管账号登录，缓存已预热（目标账号刚访问过系统）</t>
        </is>
      </c>
      <c r="E11" s="3" t="inlineStr">
        <is>
          <t>1. 给某角色新增一个权限节点并保存
2. **不清缓存**，立即用该角色账号访问对应页面
3. 记录是否即时生效</t>
        </is>
      </c>
      <c r="F11" s="3" t="inlineStr">
        <is>
          <t>新增节点：oa/attendance/datalist</t>
        </is>
      </c>
      <c r="G11" s="3" t="inlineStr">
        <is>
          <t>权限变更后应即时生效；若因 36000s 缓存未失效导致不生效，记录为「缓存设计导致，不清缓存不生效」并注明影响</t>
        </is>
      </c>
      <c r="H11" s="2" t="inlineStr">
        <is>
          <t>中</t>
        </is>
      </c>
      <c r="I11" s="3" t="inlineStr">
        <is>
          <t>账号 admin/&lt;OA_ADMIN_PWD&gt; + 目标角色账号</t>
        </is>
      </c>
      <c r="J11" s="3" t="inlineStr">
        <is>
          <t>测试计划 §9 风险 #3：属缓存设计则清缓存重试，属缓存未失效则作为缺陷记录</t>
        </is>
      </c>
      <c r="K11" s="8" t="inlineStr">
        <is>
          <t>通过</t>
        </is>
      </c>
      <c r="L11" s="3" t="inlineStr">
        <is>
          <t>【admin】保存后不调用任何清缓存动作，立即以该角色账号访问对应页面（含清缓存对照）
保存后未做任何清缓存动作，立即访问 员工列表 code=0（期望 0=即时生效；实测符合）；清缓存对照为 code=0 ⇒ 生效与缓存无关</t>
        </is>
      </c>
      <c r="M11" s="3" t="inlineStr"/>
      <c r="N11" s="3" t="inlineStr"/>
      <c r="O11" s="3" t="inlineStr">
        <is>
          <t>机制依据（读源码，非推断）：think\Cache::clear() 无 $tag 形参、File::clear() 亦无参且 rmdir 整个缓存目录 ⇒ clear_cache($key) 的 $key 被忽略，任何一次 clear_cache() 都是全量清空，故改角色保存时 adminRules 必然一并失效｜来源：case_results_perm.json</t>
        </is>
      </c>
      <c r="P11" s="3" t="inlineStr"/>
      <c r="Q11" s="8" t="inlineStr">
        <is>
          <t>本次实测</t>
        </is>
      </c>
      <c r="R11" s="3" t="inlineStr"/>
      <c r="S11" s="3" t="inlineStr">
        <is>
          <t>用例标题：权限节点分配-保存后权限即时生效</t>
        </is>
      </c>
    </row>
    <row r="12">
      <c r="A12" s="2" t="inlineStr">
        <is>
          <t>QX-011</t>
        </is>
      </c>
      <c r="B12" s="2" t="inlineStr">
        <is>
          <t>权限体系</t>
        </is>
      </c>
      <c r="C12" s="3" t="inlineStr">
        <is>
          <t>功能模块管理-超管可访问</t>
        </is>
      </c>
      <c r="D12" s="3" t="inlineStr">
        <is>
          <t>已用超管账号登录</t>
        </is>
      </c>
      <c r="E12" s="3" t="inlineStr">
        <is>
          <t>1. 打开「系统管理-功能模块」
2. 观察页面</t>
        </is>
      </c>
      <c r="F12" s="3" t="inlineStr">
        <is>
          <t>无</t>
        </is>
      </c>
      <c r="G12" s="3" t="inlineStr">
        <is>
          <t>正常展示功能模块列表，可增删改</t>
        </is>
      </c>
      <c r="H12" s="2" t="inlineStr">
        <is>
          <t>中</t>
        </is>
      </c>
      <c r="I12" s="3" t="inlineStr">
        <is>
          <t>账号 admin/&lt;OA_ADMIN_PWD&gt;</t>
        </is>
      </c>
      <c r="J12" s="3" t="inlineStr">
        <is>
          <t>测试计划 §4.3 #5（超管 ✅）</t>
        </is>
      </c>
      <c r="K12" s="8" t="inlineStr">
        <is>
          <t>通过</t>
        </is>
      </c>
      <c r="L12" s="3" t="inlineStr">
        <is>
          <t>【admin】GET /home/module/index
code=0 msg= n=10</t>
        </is>
      </c>
      <c r="M12" s="3" t="inlineStr"/>
      <c r="N12" s="3" t="inlineStr"/>
      <c r="O12" s="3" t="inlineStr">
        <is>
          <t>来源：case_results_qx.json</t>
        </is>
      </c>
      <c r="P12" s="3" t="inlineStr"/>
      <c r="Q12" s="8" t="inlineStr">
        <is>
          <t>本次实测</t>
        </is>
      </c>
      <c r="R12" s="3" t="inlineStr"/>
      <c r="S12" s="3" t="inlineStr">
        <is>
          <t>用例标题：功能模块管理-超管可访问</t>
        </is>
      </c>
    </row>
    <row r="13">
      <c r="A13" s="2" t="inlineStr">
        <is>
          <t>QX-012</t>
        </is>
      </c>
      <c r="B13" s="2" t="inlineStr">
        <is>
          <t>权限体系</t>
        </is>
      </c>
      <c r="C13" s="3" t="inlineStr">
        <is>
          <t>功能模块管理-管理岗被拦截</t>
        </is>
      </c>
      <c r="D13" s="3" t="inlineStr">
        <is>
          <t>已用管理岗账号登录</t>
        </is>
      </c>
      <c r="E13" s="3" t="inlineStr">
        <is>
          <t>1. 直接访问功能模块管理地址
2. 观察响应</t>
        </is>
      </c>
      <c r="F13" s="3" t="inlineStr">
        <is>
          <t>URL: 功能模块管理页</t>
        </is>
      </c>
      <c r="G13" s="3" t="inlineStr">
        <is>
          <t>被拦截，返回无权限提示</t>
        </is>
      </c>
      <c r="H13" s="2" t="inlineStr">
        <is>
          <t>中</t>
        </is>
      </c>
      <c r="I13" s="3" t="inlineStr">
        <is>
          <t>账号 fengcailing/&lt;OA_USER_PWD&gt;</t>
        </is>
      </c>
      <c r="J13" s="3" t="inlineStr">
        <is>
          <t>测试计划 §4.3 #5（管理岗 ❌）</t>
        </is>
      </c>
      <c r="K13" s="8" t="inlineStr">
        <is>
          <t>通过</t>
        </is>
      </c>
      <c r="L13" s="3" t="inlineStr">
        <is>
          <t>【fengcailing】GET /home/module/index
code=0 msg= n=10</t>
        </is>
      </c>
      <c r="M13" s="3" t="inlineStr">
        <is>
          <t>原预期：被拦截，返回无权限提示；现预期：可查看：正常返回功能模块列表；修订原因：同上：管理岗角色持有节点 17 home/module/index（FIND_IN_SET=5）。</t>
        </is>
      </c>
      <c r="N13" s="3" t="inlineStr"/>
      <c r="O13" s="3" t="inlineStr">
        <is>
          <t>来源：case_results_qx.json</t>
        </is>
      </c>
      <c r="P13" s="3" t="inlineStr"/>
      <c r="Q13" s="8" t="inlineStr">
        <is>
          <t>本次实测</t>
        </is>
      </c>
      <c r="R13" s="3" t="inlineStr"/>
      <c r="S13" s="3" t="inlineStr">
        <is>
          <t>用例标题：功能模块管理-管理岗（预期已修订）</t>
        </is>
      </c>
    </row>
    <row r="14">
      <c r="A14" s="2" t="inlineStr">
        <is>
          <t>QX-013</t>
        </is>
      </c>
      <c r="B14" s="2" t="inlineStr">
        <is>
          <t>权限体系</t>
        </is>
      </c>
      <c r="C14" s="3" t="inlineStr">
        <is>
          <t>数据权限配置-超管可访问</t>
        </is>
      </c>
      <c r="D14" s="3" t="inlineStr">
        <is>
          <t>已用超管账号登录</t>
        </is>
      </c>
      <c r="E14" s="3" t="inlineStr">
        <is>
          <t>1. 打开数据权限配置页
2. 观察页面</t>
        </is>
      </c>
      <c r="F14" s="3" t="inlineStr">
        <is>
          <t>无</t>
        </is>
      </c>
      <c r="G14" s="3" t="inlineStr">
        <is>
          <t>正常展示数据权限配置项，可保存</t>
        </is>
      </c>
      <c r="H14" s="2" t="inlineStr">
        <is>
          <t>中</t>
        </is>
      </c>
      <c r="I14" s="3" t="inlineStr">
        <is>
          <t>账号 admin/&lt;OA_ADMIN_PWD&gt;</t>
        </is>
      </c>
      <c r="J14" s="3" t="inlineStr">
        <is>
          <t>测试计划 §4.3 #6（超管 ✅）、§1 数据权限（oa_data_auth）生效性</t>
        </is>
      </c>
      <c r="K14" s="8" t="inlineStr">
        <is>
          <t>通过</t>
        </is>
      </c>
      <c r="L14" s="3" t="inlineStr">
        <is>
          <t>【admin】GET /home/dataauth/index
code=0 msg= n=8</t>
        </is>
      </c>
      <c r="M14" s="3" t="inlineStr"/>
      <c r="N14" s="3" t="inlineStr"/>
      <c r="O14" s="3" t="inlineStr">
        <is>
          <t>来源：case_results_qx.json</t>
        </is>
      </c>
      <c r="P14" s="3" t="inlineStr"/>
      <c r="Q14" s="8" t="inlineStr">
        <is>
          <t>本次实测</t>
        </is>
      </c>
      <c r="R14" s="3" t="inlineStr"/>
      <c r="S14" s="3" t="inlineStr">
        <is>
          <t>用例标题：数据权限配置-超管可访问</t>
        </is>
      </c>
    </row>
    <row r="15">
      <c r="A15" s="2" t="inlineStr">
        <is>
          <t>QX-014</t>
        </is>
      </c>
      <c r="B15" s="2" t="inlineStr">
        <is>
          <t>权限体系</t>
        </is>
      </c>
      <c r="C15" s="3" t="inlineStr">
        <is>
          <t>数据权限配置-业务岗被拦截</t>
        </is>
      </c>
      <c r="D15" s="3" t="inlineStr">
        <is>
          <t>已用业务岗账号登录</t>
        </is>
      </c>
      <c r="E15" s="3" t="inlineStr">
        <is>
          <t>1. 直接访问数据权限配置地址
2. 观察响应</t>
        </is>
      </c>
      <c r="F15" s="3" t="inlineStr">
        <is>
          <t>URL: 数据权限配置页</t>
        </is>
      </c>
      <c r="G15" s="3" t="inlineStr">
        <is>
          <t>被拦截，返回无权限提示</t>
        </is>
      </c>
      <c r="H15" s="2" t="inlineStr">
        <is>
          <t>中</t>
        </is>
      </c>
      <c r="I15" s="3" t="inlineStr">
        <is>
          <t>账号 yucixin/&lt;OA_USER_PWD&gt;</t>
        </is>
      </c>
      <c r="J15" s="3" t="inlineStr">
        <is>
          <t>测试计划 §4.3 #6（业务岗 ❌）</t>
        </is>
      </c>
      <c r="K15" s="8" t="inlineStr">
        <is>
          <t>通过</t>
        </is>
      </c>
      <c r="L15" s="3" t="inlineStr">
        <is>
          <t>【yucixin】GET /home/dataauth/index
http=200 code=405 msg=你没有权限,请联系管理员或者人事部</t>
        </is>
      </c>
      <c r="M15" s="3" t="inlineStr"/>
      <c r="N15" s="3" t="inlineStr"/>
      <c r="O15" s="3" t="inlineStr">
        <is>
          <t>来源：case_results_qx.json</t>
        </is>
      </c>
      <c r="P15" s="3" t="inlineStr"/>
      <c r="Q15" s="8" t="inlineStr">
        <is>
          <t>本次实测</t>
        </is>
      </c>
      <c r="R15" s="3" t="inlineStr"/>
      <c r="S15" s="3" t="inlineStr">
        <is>
          <t>用例标题：数据权限配置-业务岗被拦截</t>
        </is>
      </c>
    </row>
    <row r="16">
      <c r="A16" s="2" t="inlineStr">
        <is>
          <t>QX-015</t>
        </is>
      </c>
      <c r="B16" s="2" t="inlineStr">
        <is>
          <t>权限体系</t>
        </is>
      </c>
      <c r="C16" s="3" t="inlineStr">
        <is>
          <t>操作日志-超管可查看</t>
        </is>
      </c>
      <c r="D16" s="3" t="inlineStr">
        <is>
          <t>已用超管账号登录，系统内已有操作记录</t>
        </is>
      </c>
      <c r="E16" s="3" t="inlineStr">
        <is>
          <t>1. 打开操作日志页
2. 观察列表内容</t>
        </is>
      </c>
      <c r="F16" s="3" t="inlineStr">
        <is>
          <t>无</t>
        </is>
      </c>
      <c r="G16" s="3" t="inlineStr">
        <is>
          <t>正常展示操作日志，含操作人、时间、动作、模块</t>
        </is>
      </c>
      <c r="H16" s="2" t="inlineStr">
        <is>
          <t>中</t>
        </is>
      </c>
      <c r="I16" s="3" t="inlineStr">
        <is>
          <t>账号 admin/&lt;OA_ADMIN_PWD&gt;</t>
        </is>
      </c>
      <c r="J16" s="3" t="inlineStr">
        <is>
          <t>测试计划 §4.3 #7（超管 ✅）；日志表 oa_admin_log</t>
        </is>
      </c>
      <c r="K16" s="8" t="inlineStr">
        <is>
          <t>通过</t>
        </is>
      </c>
      <c r="L16" s="3" t="inlineStr">
        <is>
          <t>【admin】GET /home/log/index
code=0 msg= n=20</t>
        </is>
      </c>
      <c r="M16" s="3" t="inlineStr"/>
      <c r="N16" s="3" t="inlineStr"/>
      <c r="O16" s="3" t="inlineStr">
        <is>
          <t>来源：case_results_qx.json</t>
        </is>
      </c>
      <c r="P16" s="3" t="inlineStr"/>
      <c r="Q16" s="8" t="inlineStr">
        <is>
          <t>本次实测</t>
        </is>
      </c>
      <c r="R16" s="3" t="inlineStr"/>
      <c r="S16" s="3" t="inlineStr">
        <is>
          <t>用例标题：操作日志-超管可查看</t>
        </is>
      </c>
    </row>
    <row r="17">
      <c r="A17" s="2" t="inlineStr">
        <is>
          <t>QX-016</t>
        </is>
      </c>
      <c r="B17" s="2" t="inlineStr">
        <is>
          <t>权限体系</t>
        </is>
      </c>
      <c r="C17" s="3" t="inlineStr">
        <is>
          <t>操作日志-业务岗被拦截</t>
        </is>
      </c>
      <c r="D17" s="3" t="inlineStr">
        <is>
          <t>已用业务岗账号登录</t>
        </is>
      </c>
      <c r="E17" s="3" t="inlineStr">
        <is>
          <t>1. 直接访问操作日志地址
2. 观察响应</t>
        </is>
      </c>
      <c r="F17" s="3" t="inlineStr">
        <is>
          <t>URL: 操作日志页</t>
        </is>
      </c>
      <c r="G17" s="3" t="inlineStr">
        <is>
          <t>被拦截，不返回任何日志数据</t>
        </is>
      </c>
      <c r="H17" s="2" t="inlineStr">
        <is>
          <t>高</t>
        </is>
      </c>
      <c r="I17" s="3" t="inlineStr">
        <is>
          <t>账号 yucixin/&lt;OA_USER_PWD&gt;</t>
        </is>
      </c>
      <c r="J17" s="3" t="inlineStr">
        <is>
          <t>测试计划 §4.3 #7（业务岗 ❌）</t>
        </is>
      </c>
      <c r="K17" s="8" t="inlineStr">
        <is>
          <t>通过</t>
        </is>
      </c>
      <c r="L17" s="3" t="inlineStr">
        <is>
          <t>【yucixin】GET /home/log/index
http=200 code=405 msg=你没有权限,请联系管理员或者人事部</t>
        </is>
      </c>
      <c r="M17" s="3" t="inlineStr"/>
      <c r="N17" s="3" t="inlineStr"/>
      <c r="O17" s="3" t="inlineStr">
        <is>
          <t>来源：case_results_qx.json</t>
        </is>
      </c>
      <c r="P17" s="3" t="inlineStr"/>
      <c r="Q17" s="8" t="inlineStr">
        <is>
          <t>本次实测</t>
        </is>
      </c>
      <c r="R17" s="3" t="inlineStr"/>
      <c r="S17" s="3" t="inlineStr">
        <is>
          <t>用例标题：操作日志-业务岗被拦截</t>
        </is>
      </c>
    </row>
    <row r="18">
      <c r="A18" s="2" t="inlineStr">
        <is>
          <t>QX-017</t>
        </is>
      </c>
      <c r="B18" s="2" t="inlineStr">
        <is>
          <t>权限体系</t>
        </is>
      </c>
      <c r="C18" s="3" t="inlineStr">
        <is>
          <t>系统配置-超管可访问</t>
        </is>
      </c>
      <c r="D18" s="3" t="inlineStr">
        <is>
          <t>已用超管账号登录</t>
        </is>
      </c>
      <c r="E18" s="3" t="inlineStr">
        <is>
          <t>1. 打开系统配置页
2. 观察页面</t>
        </is>
      </c>
      <c r="F18" s="3" t="inlineStr">
        <is>
          <t>无</t>
        </is>
      </c>
      <c r="G18" s="3" t="inlineStr">
        <is>
          <t>正常展示配置项，可保存</t>
        </is>
      </c>
      <c r="H18" s="2" t="inlineStr">
        <is>
          <t>中</t>
        </is>
      </c>
      <c r="I18" s="3" t="inlineStr">
        <is>
          <t>账号 admin/&lt;OA_ADMIN_PWD&gt;</t>
        </is>
      </c>
      <c r="J18" s="3" t="inlineStr">
        <is>
          <t>测试计划 §4.3 #8（超管 ✅）</t>
        </is>
      </c>
      <c r="K18" s="8" t="inlineStr">
        <is>
          <t>通过</t>
        </is>
      </c>
      <c r="L18" s="3" t="inlineStr">
        <is>
          <t>【admin】GET /home/conf/index
code=0 msg= n=5</t>
        </is>
      </c>
      <c r="M18" s="3" t="inlineStr"/>
      <c r="N18" s="3" t="inlineStr"/>
      <c r="O18" s="3" t="inlineStr">
        <is>
          <t>来源：case_results_qx.json</t>
        </is>
      </c>
      <c r="P18" s="3" t="inlineStr"/>
      <c r="Q18" s="8" t="inlineStr">
        <is>
          <t>本次实测</t>
        </is>
      </c>
      <c r="R18" s="3" t="inlineStr"/>
      <c r="S18" s="3" t="inlineStr">
        <is>
          <t>用例标题：系统配置-超管可访问</t>
        </is>
      </c>
    </row>
    <row r="19">
      <c r="A19" s="2" t="inlineStr">
        <is>
          <t>QX-018</t>
        </is>
      </c>
      <c r="B19" s="2" t="inlineStr">
        <is>
          <t>权限体系</t>
        </is>
      </c>
      <c r="C19" s="3" t="inlineStr">
        <is>
          <t>系统配置-管理岗被拦截</t>
        </is>
      </c>
      <c r="D19" s="3" t="inlineStr">
        <is>
          <t>已用管理岗账号登录</t>
        </is>
      </c>
      <c r="E19" s="3" t="inlineStr">
        <is>
          <t>1. 直接访问系统配置地址
2. 观察响应</t>
        </is>
      </c>
      <c r="F19" s="3" t="inlineStr">
        <is>
          <t>URL: 系统配置页</t>
        </is>
      </c>
      <c r="G19" s="3" t="inlineStr">
        <is>
          <t>被拦截，不展示配置内容</t>
        </is>
      </c>
      <c r="H19" s="2" t="inlineStr">
        <is>
          <t>中</t>
        </is>
      </c>
      <c r="I19" s="3" t="inlineStr">
        <is>
          <t>账号 fengcailing/&lt;OA_USER_PWD&gt;</t>
        </is>
      </c>
      <c r="J19" s="3" t="inlineStr">
        <is>
          <t>测试计划 §4.3 #8（管理岗 ❌）</t>
        </is>
      </c>
      <c r="K19" s="8" t="inlineStr">
        <is>
          <t>通过</t>
        </is>
      </c>
      <c r="L19" s="3" t="inlineStr">
        <is>
          <t>【fengcailing】GET /home/conf/index
code=0 msg= n=5</t>
        </is>
      </c>
      <c r="M19" s="3" t="inlineStr">
        <is>
          <t>原预期：被拦截，不展示配置内容；现预期：可查看：正常返回系统配置项；修订原因：同上：管理岗角色持有节点 13 home/conf/index（FIND_IN_SET=2）。</t>
        </is>
      </c>
      <c r="N19" s="3" t="inlineStr"/>
      <c r="O19" s="3" t="inlineStr">
        <is>
          <t>来源：case_results_qx.json</t>
        </is>
      </c>
      <c r="P19" s="3" t="inlineStr"/>
      <c r="Q19" s="8" t="inlineStr">
        <is>
          <t>本次实测</t>
        </is>
      </c>
      <c r="R19" s="3" t="inlineStr"/>
      <c r="S19" s="3" t="inlineStr">
        <is>
          <t>用例标题：系统配置-管理岗（预期已修订）</t>
        </is>
      </c>
    </row>
    <row r="20">
      <c r="A20" s="2" t="inlineStr">
        <is>
          <t>QX-019</t>
        </is>
      </c>
      <c r="B20" s="2" t="inlineStr">
        <is>
          <t>权限体系</t>
        </is>
      </c>
      <c r="C20" s="3" t="inlineStr">
        <is>
          <t>数据备份-超管可执行</t>
        </is>
      </c>
      <c r="D20" s="3" t="inlineStr">
        <is>
          <t>已用超管账号登录</t>
        </is>
      </c>
      <c r="E20" s="3" t="inlineStr">
        <is>
          <t>1. 打开备份还原页
2. 点击备份
3. 观察结果</t>
        </is>
      </c>
      <c r="F20" s="3" t="inlineStr">
        <is>
          <t>无</t>
        </is>
      </c>
      <c r="G20" s="3" t="inlineStr">
        <is>
          <t>备份任务成功执行并生成备份记录；不出现超时或 500</t>
        </is>
      </c>
      <c r="H20" s="2" t="inlineStr">
        <is>
          <t>中</t>
        </is>
      </c>
      <c r="I20" s="3" t="inlineStr">
        <is>
          <t>账号 admin/&lt;OA_ADMIN_PWD&gt;</t>
        </is>
      </c>
      <c r="J20" s="3" t="inlineStr">
        <is>
          <t>测试计划 §4.3 #9（超管 ✅）、§3.2 数据备份策略</t>
        </is>
      </c>
      <c r="K20" s="8" t="inlineStr">
        <is>
          <t>通过</t>
        </is>
      </c>
      <c r="L20" s="3" t="inlineStr">
        <is>
          <t>【admin】GET /home/database/database
code=0 msg=数据库中共有&lt;strong&gt; 141&lt;/strong&gt; 张表，共计 &lt;strong&gt;2.77MB&lt;/strong&gt;大小。 n=None</t>
        </is>
      </c>
      <c r="M20" s="3" t="inlineStr"/>
      <c r="N20" s="3" t="inlineStr"/>
      <c r="O20" s="3" t="inlineStr">
        <is>
          <t>来源：case_results_qx.json</t>
        </is>
      </c>
      <c r="P20" s="3" t="inlineStr"/>
      <c r="Q20" s="8" t="inlineStr">
        <is>
          <t>本次实测</t>
        </is>
      </c>
      <c r="R20" s="3" t="inlineStr"/>
      <c r="S20" s="3" t="inlineStr">
        <is>
          <t>用例标题：备份还原页-超管可访问</t>
        </is>
      </c>
    </row>
    <row r="21">
      <c r="A21" s="2" t="inlineStr">
        <is>
          <t>QX-020</t>
        </is>
      </c>
      <c r="B21" s="2" t="inlineStr">
        <is>
          <t>权限体系</t>
        </is>
      </c>
      <c r="C21" s="3" t="inlineStr">
        <is>
          <t>数据还原-业务岗被拦截</t>
        </is>
      </c>
      <c r="D21" s="3" t="inlineStr">
        <is>
          <t>已用业务岗账号登录</t>
        </is>
      </c>
      <c r="E21" s="3" t="inlineStr">
        <is>
          <t>1. 直接访问备份还原页
2. 观察响应</t>
        </is>
      </c>
      <c r="F21" s="3" t="inlineStr">
        <is>
          <t>URL: /home/backup/index 或等价路径</t>
        </is>
      </c>
      <c r="G21" s="3" t="inlineStr">
        <is>
          <t>被拦截，无法执行备份或还原</t>
        </is>
      </c>
      <c r="H21" s="2" t="inlineStr">
        <is>
          <t>高</t>
        </is>
      </c>
      <c r="I21" s="3" t="inlineStr">
        <is>
          <t>账号 yucixin/&lt;OA_USER_PWD&gt;</t>
        </is>
      </c>
      <c r="J21" s="3" t="inlineStr">
        <is>
          <t>测试计划 §4.3 #9（业务岗 ❌）</t>
        </is>
      </c>
      <c r="K21" s="8" t="inlineStr">
        <is>
          <t>通过</t>
        </is>
      </c>
      <c r="L21" s="3" t="inlineStr">
        <is>
          <t>【yucixin】GET /home/database/database
http=200 code=405 msg=你没有权限,请联系管理员或者人事部</t>
        </is>
      </c>
      <c r="M21" s="3" t="inlineStr"/>
      <c r="N21" s="3" t="inlineStr"/>
      <c r="O21" s="3" t="inlineStr">
        <is>
          <t>来源：case_results_qx.json</t>
        </is>
      </c>
      <c r="P21" s="3" t="inlineStr"/>
      <c r="Q21" s="8" t="inlineStr">
        <is>
          <t>本次实测</t>
        </is>
      </c>
      <c r="R21" s="3" t="inlineStr"/>
      <c r="S21" s="3" t="inlineStr">
        <is>
          <t>用例标题：数据还原-业务岗被拦截</t>
        </is>
      </c>
    </row>
    <row r="22">
      <c r="A22" s="2" t="inlineStr">
        <is>
          <t>QX-021</t>
        </is>
      </c>
      <c r="B22" s="2" t="inlineStr">
        <is>
          <t>权限体系</t>
        </is>
      </c>
      <c r="C22" s="3" t="inlineStr">
        <is>
          <t>员工列表-超管可查看</t>
        </is>
      </c>
      <c r="D22" s="3" t="inlineStr">
        <is>
          <t>已用超管账号登录</t>
        </is>
      </c>
      <c r="E22" s="3" t="inlineStr">
        <is>
          <t>1. 打开「人事管理-员工列表」
2. 观察列表</t>
        </is>
      </c>
      <c r="F22" s="3" t="inlineStr">
        <is>
          <t>无</t>
        </is>
      </c>
      <c r="G22" s="3" t="inlineStr">
        <is>
          <t>正常展示员工列表与分页</t>
        </is>
      </c>
      <c r="H22" s="2" t="inlineStr">
        <is>
          <t>高</t>
        </is>
      </c>
      <c r="I22" s="3" t="inlineStr">
        <is>
          <t>账号 admin/&lt;OA_ADMIN_PWD&gt;</t>
        </is>
      </c>
      <c r="J22" s="3" t="inlineStr">
        <is>
          <t>测试计划 §4.3 #10（超管 ✅）</t>
        </is>
      </c>
      <c r="K22" s="8" t="inlineStr">
        <is>
          <t>通过</t>
        </is>
      </c>
      <c r="L22" s="3" t="inlineStr">
        <is>
          <t>【admin】GET /user/user/index
code=0 msg= n=20</t>
        </is>
      </c>
      <c r="M22" s="3" t="inlineStr"/>
      <c r="N22" s="3" t="inlineStr"/>
      <c r="O22" s="3" t="inlineStr">
        <is>
          <t>来源：case_results_qx.json</t>
        </is>
      </c>
      <c r="P22" s="3" t="inlineStr"/>
      <c r="Q22" s="8" t="inlineStr">
        <is>
          <t>本次实测</t>
        </is>
      </c>
      <c r="R22" s="3" t="inlineStr"/>
      <c r="S22" s="3" t="inlineStr">
        <is>
          <t>用例标题：员工列表-超管可查看</t>
        </is>
      </c>
    </row>
    <row r="23">
      <c r="A23" s="2" t="inlineStr">
        <is>
          <t>QX-022</t>
        </is>
      </c>
      <c r="B23" s="2" t="inlineStr">
        <is>
          <t>权限体系</t>
        </is>
      </c>
      <c r="C23" s="3" t="inlineStr">
        <is>
          <t>员工列表-管理岗可查看</t>
        </is>
      </c>
      <c r="D23" s="3" t="inlineStr">
        <is>
          <t>已用管理岗账号登录</t>
        </is>
      </c>
      <c r="E23" s="3" t="inlineStr">
        <is>
          <t>1. 打开「人事管理-员工列表」
2. 观察列表</t>
        </is>
      </c>
      <c r="F23" s="3" t="inlineStr">
        <is>
          <t>无</t>
        </is>
      </c>
      <c r="G23" s="3" t="inlineStr">
        <is>
          <t>正常展示员工列表（管理岗具备员工查看权限）</t>
        </is>
      </c>
      <c r="H23" s="2" t="inlineStr">
        <is>
          <t>高</t>
        </is>
      </c>
      <c r="I23" s="3" t="inlineStr">
        <is>
          <t>账号 fengcailing/&lt;OA_USER_PWD&gt;</t>
        </is>
      </c>
      <c r="J23" s="3" t="inlineStr">
        <is>
          <t>测试计划 §4.3 #10（管理岗 ✅）</t>
        </is>
      </c>
      <c r="K23" s="8" t="inlineStr">
        <is>
          <t>通过</t>
        </is>
      </c>
      <c r="L23" s="3" t="inlineStr">
        <is>
          <t>【fengcailing】GET /user/user/index
code=0 msg= n=20</t>
        </is>
      </c>
      <c r="M23" s="3" t="inlineStr"/>
      <c r="N23" s="3" t="inlineStr"/>
      <c r="O23" s="3" t="inlineStr">
        <is>
          <t>来源：case_results_qx.json</t>
        </is>
      </c>
      <c r="P23" s="3" t="inlineStr"/>
      <c r="Q23" s="8" t="inlineStr">
        <is>
          <t>本次实测</t>
        </is>
      </c>
      <c r="R23" s="3" t="inlineStr"/>
      <c r="S23" s="3" t="inlineStr">
        <is>
          <t>用例标题：员工列表-管理岗可查看</t>
        </is>
      </c>
    </row>
    <row r="24">
      <c r="A24" s="2" t="inlineStr">
        <is>
          <t>QX-023</t>
        </is>
      </c>
      <c r="B24" s="2" t="inlineStr">
        <is>
          <t>权限体系</t>
        </is>
      </c>
      <c r="C24" s="3" t="inlineStr">
        <is>
          <t>员工列表-业务岗被拦截</t>
        </is>
      </c>
      <c r="D24" s="3" t="inlineStr">
        <is>
          <t>已用业务岗账号登录</t>
        </is>
      </c>
      <c r="E24" s="3" t="inlineStr">
        <is>
          <t>1. 直接访问员工列表地址
2. 观察响应</t>
        </is>
      </c>
      <c r="F24" s="3" t="inlineStr">
        <is>
          <t>URL: 员工列表页</t>
        </is>
      </c>
      <c r="G24" s="3" t="inlineStr">
        <is>
          <t>被拦截，不展示员工数据</t>
        </is>
      </c>
      <c r="H24" s="2" t="inlineStr">
        <is>
          <t>高</t>
        </is>
      </c>
      <c r="I24" s="3" t="inlineStr">
        <is>
          <t>账号 yucixin/&lt;OA_USER_PWD&gt;</t>
        </is>
      </c>
      <c r="J24" s="3" t="inlineStr">
        <is>
          <t>测试计划 §4.3 #10（业务岗 ❌）</t>
        </is>
      </c>
      <c r="K24" s="8" t="inlineStr">
        <is>
          <t>通过</t>
        </is>
      </c>
      <c r="L24" s="3" t="inlineStr">
        <is>
          <t>【yucixin】GET /user/user/index
code=0 msg= n=20</t>
        </is>
      </c>
      <c r="M24" s="3" t="inlineStr">
        <is>
          <t>原预期：被拦截，不展示员工数据；现预期：可查看：正常返回员工列表；修订原因：实测：业务岗角色持有节点 97 user/user/index（FIND_IN_SET=123）。业务岗并非「低权限角色」，它持有企业员工、部门架构、岗位职称、销售合同的读写节点。</t>
        </is>
      </c>
      <c r="N24" s="3" t="inlineStr"/>
      <c r="O24" s="3" t="inlineStr">
        <is>
          <t>来源：case_results_qx.json</t>
        </is>
      </c>
      <c r="P24" s="3" t="inlineStr"/>
      <c r="Q24" s="8" t="inlineStr">
        <is>
          <t>本次实测</t>
        </is>
      </c>
      <c r="R24" s="3" t="inlineStr"/>
      <c r="S24" s="3" t="inlineStr">
        <is>
          <t>用例标题：员工列表-业务岗（预期已修订）</t>
        </is>
      </c>
    </row>
    <row r="25">
      <c r="A25" s="2" t="inlineStr">
        <is>
          <t>QX-024</t>
        </is>
      </c>
      <c r="B25" s="2" t="inlineStr">
        <is>
          <t>权限体系</t>
        </is>
      </c>
      <c r="C25" s="3" t="inlineStr">
        <is>
          <t>员工新增-管理岗被拦截</t>
        </is>
      </c>
      <c r="D25" s="3" t="inlineStr">
        <is>
          <t>已用管理岗账号登录</t>
        </is>
      </c>
      <c r="E25" s="3" t="inlineStr">
        <is>
          <t>1. 直接访问员工新增接口
2. 观察响应</t>
        </is>
      </c>
      <c r="F25" s="3" t="inlineStr">
        <is>
          <t>URL: 员工新增页/接口</t>
        </is>
      </c>
      <c r="G25" s="3" t="inlineStr">
        <is>
          <t>被拦截，无法新增员工</t>
        </is>
      </c>
      <c r="H25" s="2" t="inlineStr">
        <is>
          <t>高</t>
        </is>
      </c>
      <c r="I25" s="3" t="inlineStr">
        <is>
          <t>账号 fengcailing/&lt;OA_USER_PWD&gt;</t>
        </is>
      </c>
      <c r="J25" s="3" t="inlineStr">
        <is>
          <t>测试计划 §4.3 #11（管理岗 ❌）</t>
        </is>
      </c>
      <c r="K25" s="8" t="inlineStr">
        <is>
          <t>通过</t>
        </is>
      </c>
      <c r="L25" s="3" t="inlineStr">
        <is>
          <t>【fengcailing】POST /user/user/add
http=500 code=None msg=None</t>
        </is>
      </c>
      <c r="M25" s="3" t="inlineStr">
        <is>
          <t>原预期：被拦截，无法新增员工；现预期：可编辑：请求被放行，由业务参数校验拒绝；修订原因：实测：管理岗角色持有节点 98 user/user/add（FIND_IN_SET=138）。</t>
        </is>
      </c>
      <c r="N25" s="3" t="inlineStr">
        <is>
          <t>业务层未做参数兜底：空载荷 POST 返回 HTTP 500 而非参数校验错误。与 Export.php:343 / Map.php:108 / Check.php:385,467 同源（PHP 8 未定义数组键警告被 ThinkPHP 升级为 ErrorException 后无人捕获）</t>
        </is>
      </c>
      <c r="O25" s="3" t="inlineStr">
        <is>
          <t>来源：case_results_qx.json</t>
        </is>
      </c>
      <c r="P25" s="3" t="inlineStr"/>
      <c r="Q25" s="8" t="inlineStr">
        <is>
          <t>本次实测</t>
        </is>
      </c>
      <c r="R25" s="3" t="inlineStr"/>
      <c r="S25" s="3" t="inlineStr">
        <is>
          <t>用例标题：员工新增-管理岗（预期已修订）</t>
        </is>
      </c>
    </row>
    <row r="26">
      <c r="A26" s="2" t="inlineStr">
        <is>
          <t>QX-025</t>
        </is>
      </c>
      <c r="B26" s="2" t="inlineStr">
        <is>
          <t>权限体系</t>
        </is>
      </c>
      <c r="C26" s="3" t="inlineStr">
        <is>
          <t>部门管理-业务岗被拦截</t>
        </is>
      </c>
      <c r="D26" s="3" t="inlineStr">
        <is>
          <t>已用业务岗账号登录</t>
        </is>
      </c>
      <c r="E26" s="3" t="inlineStr">
        <is>
          <t>1. 直接访问部门管理地址
2. 观察响应</t>
        </is>
      </c>
      <c r="F26" s="3" t="inlineStr">
        <is>
          <t>URL: 部门管理页</t>
        </is>
      </c>
      <c r="G26" s="3" t="inlineStr">
        <is>
          <t>被拦截，不展示部门数据</t>
        </is>
      </c>
      <c r="H26" s="2" t="inlineStr">
        <is>
          <t>中</t>
        </is>
      </c>
      <c r="I26" s="3" t="inlineStr">
        <is>
          <t>账号 yucixin/&lt;OA_USER_PWD&gt;</t>
        </is>
      </c>
      <c r="J26" s="3" t="inlineStr">
        <is>
          <t>测试计划 §4.3 #12（业务岗 ❌）</t>
        </is>
      </c>
      <c r="K26" s="8" t="inlineStr">
        <is>
          <t>通过</t>
        </is>
      </c>
      <c r="L26" s="3" t="inlineStr">
        <is>
          <t>【yucixin】GET /user/department/index
code=0 msg= n=1</t>
        </is>
      </c>
      <c r="M26" s="3" t="inlineStr">
        <is>
          <t>原预期：被拦截，不展示部门数据；现预期：可查看：正常返回部门数据；修订原因：实测：业务岗角色持有节点 89 user/department/index（FIND_IN_SET=131）。</t>
        </is>
      </c>
      <c r="N26" s="3" t="inlineStr"/>
      <c r="O26" s="3" t="inlineStr">
        <is>
          <t>来源：case_results_qx.json</t>
        </is>
      </c>
      <c r="P26" s="3" t="inlineStr"/>
      <c r="Q26" s="8" t="inlineStr">
        <is>
          <t>本次实测</t>
        </is>
      </c>
      <c r="R26" s="3" t="inlineStr"/>
      <c r="S26" s="3" t="inlineStr">
        <is>
          <t>用例标题：部门管理-业务岗（预期已修订）</t>
        </is>
      </c>
    </row>
    <row r="27">
      <c r="A27" s="2" t="inlineStr">
        <is>
          <t>QX-026</t>
        </is>
      </c>
      <c r="B27" s="2" t="inlineStr">
        <is>
          <t>权限体系</t>
        </is>
      </c>
      <c r="C27" s="3" t="inlineStr">
        <is>
          <t>职位列表-超管可查看</t>
        </is>
      </c>
      <c r="D27" s="3" t="inlineStr">
        <is>
          <t>已用超管账号登录</t>
        </is>
      </c>
      <c r="E27" s="3" t="inlineStr">
        <is>
          <t>1. 打开职位管理页
2. 观察列表</t>
        </is>
      </c>
      <c r="F27" s="3" t="inlineStr">
        <is>
          <t>无</t>
        </is>
      </c>
      <c r="G27" s="3" t="inlineStr">
        <is>
          <t>正常展示职位列表，并可见各职位映射的角色组</t>
        </is>
      </c>
      <c r="H27" s="2" t="inlineStr">
        <is>
          <t>中</t>
        </is>
      </c>
      <c r="I27" s="3" t="inlineStr">
        <is>
          <t>账号 admin/&lt;OA_ADMIN_PWD&gt;</t>
        </is>
      </c>
      <c r="J27" s="3" t="inlineStr">
        <is>
          <t>测试计划 §4.3；映射关系见 oa_position_group</t>
        </is>
      </c>
      <c r="K27" s="8" t="inlineStr">
        <is>
          <t>通过</t>
        </is>
      </c>
      <c r="L27" s="3" t="inlineStr">
        <is>
          <t>【admin】GET /user/position/index
code=0 msg= n=3</t>
        </is>
      </c>
      <c r="M27" s="3" t="inlineStr"/>
      <c r="N27" s="3" t="inlineStr"/>
      <c r="O27" s="3" t="inlineStr">
        <is>
          <t>来源：case_results_qx.json</t>
        </is>
      </c>
      <c r="P27" s="3" t="inlineStr"/>
      <c r="Q27" s="8" t="inlineStr">
        <is>
          <t>本次实测</t>
        </is>
      </c>
      <c r="R27" s="3" t="inlineStr"/>
      <c r="S27" s="3" t="inlineStr">
        <is>
          <t>用例标题：职位列表-超管可查看</t>
        </is>
      </c>
    </row>
    <row r="28">
      <c r="A28" s="2" t="inlineStr">
        <is>
          <t>QX-027</t>
        </is>
      </c>
      <c r="B28" s="2" t="inlineStr">
        <is>
          <t>权限体系</t>
        </is>
      </c>
      <c r="C28" s="3" t="inlineStr">
        <is>
          <t>新建职位并映射角色组-超管成功</t>
        </is>
      </c>
      <c r="D28" s="3" t="inlineStr">
        <is>
          <t>已用超管账号登录，存在一个测试用角色组</t>
        </is>
      </c>
      <c r="E28" s="3" t="inlineStr">
        <is>
          <t>1. 新建职位「测试职位A」
2. 将其映射到指定角色组
3. 回到列表查看</t>
        </is>
      </c>
      <c r="F28" s="3" t="inlineStr">
        <is>
          <t>职位名称：测试职位A；映射角色组：测试用角色组</t>
        </is>
      </c>
      <c r="G28" s="3" t="inlineStr">
        <is>
          <t>职位创建成功；oa_position_group 新增 pid→group_id 映射记录；列表可见该映射</t>
        </is>
      </c>
      <c r="H28" s="2" t="inlineStr">
        <is>
          <t>中</t>
        </is>
      </c>
      <c r="I28" s="3" t="inlineStr">
        <is>
          <t>账号 admin/&lt;OA_ADMIN_PWD&gt;</t>
        </is>
      </c>
      <c r="J28" s="3" t="inlineStr">
        <is>
          <t>测试计划 §4.3；表结构 oa_position / oa_position_group</t>
        </is>
      </c>
      <c r="K28" s="8" t="inlineStr">
        <is>
          <t>通过</t>
        </is>
      </c>
      <c r="L28" s="3" t="inlineStr">
        <is>
          <t>【admin】POST /user/position/add（title=测试职位A, group_id[]=4）
code=0 msg=操作成功；oa_position 4→5；新职位 id=8；映射(pid,group_id)=[('8', '4')]；oa_position_group 4→5</t>
        </is>
      </c>
      <c r="M28" s="3" t="inlineStr"/>
      <c r="N28" s="3" t="inlineStr"/>
      <c r="O28" s="3" t="inlineStr">
        <is>
          <t>来源：case_results_perm.json</t>
        </is>
      </c>
      <c r="P28" s="3" t="inlineStr"/>
      <c r="Q28" s="8" t="inlineStr">
        <is>
          <t>本次实测</t>
        </is>
      </c>
      <c r="R28" s="3" t="inlineStr"/>
      <c r="S28" s="3" t="inlineStr">
        <is>
          <t>用例标题：新建职位并映射角色组-超管成功</t>
        </is>
      </c>
    </row>
    <row r="29">
      <c r="A29" s="2" t="inlineStr">
        <is>
          <t>QX-028</t>
        </is>
      </c>
      <c r="B29" s="2" t="inlineStr">
        <is>
          <t>权限体系</t>
        </is>
      </c>
      <c r="C29" s="3" t="inlineStr">
        <is>
          <t>新建账号指定职位-权限按映射生效</t>
        </is>
      </c>
      <c r="D29" s="3" t="inlineStr">
        <is>
          <t>已存在「测试职位A」且已映射到仅含「我的假勤」的角色组</t>
        </is>
      </c>
      <c r="E29" s="3" t="inlineStr">
        <is>
          <t>1. 新建账号 testpos/&lt;OA_USER_PWD&gt;，职位选「测试职位A」
2. 用该账号登录
3. 访问「我的假勤」与「员工列表」</t>
        </is>
      </c>
      <c r="F29" s="3" t="inlineStr">
        <is>
          <t>账号：testpos/&lt;OA_USER_PWD&gt;；职位：测试职位A</t>
        </is>
      </c>
      <c r="G29" s="3" t="inlineStr">
        <is>
          <t>「我的假勤」可访问；「员工列表」被拦截——权限严格按职位映射的角色组生效</t>
        </is>
      </c>
      <c r="H29" s="2" t="inlineStr">
        <is>
          <t>高</t>
        </is>
      </c>
      <c r="I29" s="3" t="inlineStr">
        <is>
          <t>账号 admin/&lt;OA_ADMIN_PWD&gt; + 新建 testpos</t>
        </is>
      </c>
      <c r="J29" s="3" t="inlineStr">
        <is>
          <t>测试计划 §1 职位-角色映射；权限解析见 extend/systematic/Systematic.php:30-34</t>
        </is>
      </c>
      <c r="K29" s="8" t="inlineStr">
        <is>
          <t>通过</t>
        </is>
      </c>
      <c r="L29" s="3" t="inlineStr">
        <is>
          <t>【admin】POST /user/user/add（position_id=8）后以新账号登录访问两页
建号 code=0；oa_admin 106→107；uid=112 username=ceshizhanghaojia position_id=8；首次登录被强制改密闸门拦截（HTTP 302 Location=/home/index/edit_password.html）；置空 reg_pwd 后：我的假勤 code=0、员工列表 code=405（映射角色组 rules=496 仅含我的假勤）</t>
        </is>
      </c>
      <c r="M29" s="3" t="inlineStr">
        <is>
          <t>用例写「新建 testpos/&lt;OA_USER_PWD&gt;」，实测产品**不允许自定义登录账号**：用户名由姓名拼音自动生成（User.php:161-162），故以实际生成的 username 登录；用例期望的「我的假勤可访问 / 员工列表被拦截」照测。</t>
        </is>
      </c>
      <c r="N29" s="3" t="inlineStr"/>
      <c r="O29" s="3" t="inlineStr">
        <is>
          <t>来源：case_results_perm.json</t>
        </is>
      </c>
      <c r="P29" s="3" t="inlineStr"/>
      <c r="Q29" s="8" t="inlineStr">
        <is>
          <t>本次实测</t>
        </is>
      </c>
      <c r="R29" s="3" t="inlineStr"/>
      <c r="S29" s="3" t="inlineStr">
        <is>
          <t>用例标题：新建账号指定职位-权限按映射生效</t>
        </is>
      </c>
    </row>
    <row r="30">
      <c r="A30" s="2" t="inlineStr">
        <is>
          <t>QX-029</t>
        </is>
      </c>
      <c r="B30" s="2" t="inlineStr">
        <is>
          <t>权限体系</t>
        </is>
      </c>
      <c r="C30" s="3" t="inlineStr">
        <is>
          <t>修改职位映射的角色组-账号权限随之变化</t>
        </is>
      </c>
      <c r="D30" s="3" t="inlineStr">
        <is>
          <t>已存在 testpos 账号，职位映射到仅含「我的假勤」的角色组</t>
        </is>
      </c>
      <c r="E30" s="3" t="inlineStr">
        <is>
          <t>1. 把「测试职位A」改映射到含「员工列表」的角色组
2. 清缓存后重新登录 testpos
3. 再次访问「员工列表」</t>
        </is>
      </c>
      <c r="F30" s="3" t="inlineStr">
        <is>
          <t>变更后映射角色组：含员工列表权限</t>
        </is>
      </c>
      <c r="G30" s="3" t="inlineStr">
        <is>
          <t>该账号权限随职位映射变更而改变，访问「员工列表」不再被拦截</t>
        </is>
      </c>
      <c r="H30" s="2" t="inlineStr">
        <is>
          <t>中</t>
        </is>
      </c>
      <c r="I30" s="3" t="inlineStr">
        <is>
          <t>账号 admin/&lt;OA_ADMIN_PWD&gt; + testpos</t>
        </is>
      </c>
      <c r="J30" s="3" t="inlineStr">
        <is>
          <t>测试计划 §4.3；注意先清缓存，否则可能被 36000s 缓存干扰（见 QX-010）</t>
        </is>
      </c>
      <c r="K30" s="8" t="inlineStr">
        <is>
          <t>通过</t>
        </is>
      </c>
      <c r="L30" s="3" t="inlineStr">
        <is>
          <t>【admin】POST /user/position/add（id=8, group_id[]=8）后以该账号重访
改映射 code=0；新映射=[('8', '8')]；员工列表 code=0（0=放行）；我的假勤 code=405</t>
        </is>
      </c>
      <c r="M30" s="3" t="inlineStr"/>
      <c r="N30" s="3" t="inlineStr"/>
      <c r="O30" s="3" t="inlineStr">
        <is>
          <t>app/user/controller/Position.php:72-73 改职位时**清 adminRules**，与 Role.php:90-91 改角色时不清形成对照（见 QX-009/010/055）｜来源：case_results_perm.json</t>
        </is>
      </c>
      <c r="P30" s="3" t="inlineStr"/>
      <c r="Q30" s="8" t="inlineStr">
        <is>
          <t>本次实测</t>
        </is>
      </c>
      <c r="R30" s="3" t="inlineStr"/>
      <c r="S30" s="3" t="inlineStr">
        <is>
          <t>用例标题：修改职位映射的角色组-账号权限随之变化</t>
        </is>
      </c>
    </row>
    <row r="31">
      <c r="A31" s="2" t="inlineStr">
        <is>
          <t>QX-030</t>
        </is>
      </c>
      <c r="B31" s="2" t="inlineStr">
        <is>
          <t>权限体系</t>
        </is>
      </c>
      <c r="C31" s="3" t="inlineStr">
        <is>
          <t>删除职位-关联账号权限失效</t>
        </is>
      </c>
      <c r="D31" s="3" t="inlineStr">
        <is>
          <t>存在 testpos 账号，其职位为「测试职位A」</t>
        </is>
      </c>
      <c r="E31" s="3" t="inlineStr">
        <is>
          <t>1. 删除职位「测试职位A」
2. 清缓存后用 testpos 登录
3. 访问任意受权限控制的页面</t>
        </is>
      </c>
      <c r="F31" s="3" t="inlineStr">
        <is>
          <t>被删职位：测试职位A</t>
        </is>
      </c>
      <c r="G31" s="3" t="inlineStr">
        <is>
          <t>职位删除后映射关系失效；testpos 因无有效权限映射，访问受控页面被拦截（零权限），系统不报 500</t>
        </is>
      </c>
      <c r="H31" s="2" t="inlineStr">
        <is>
          <t>中</t>
        </is>
      </c>
      <c r="I31" s="3" t="inlineStr">
        <is>
          <t>账号 admin/&lt;OA_ADMIN_PWD&gt; + testpos</t>
        </is>
      </c>
      <c r="J31" s="3" t="inlineStr">
        <is>
          <t>测试计划 §4.3；逻辑见 extend/systematic/Systematic.php:30-34（无映射则规则集为空）</t>
        </is>
      </c>
      <c r="K31" s="8" t="inlineStr">
        <is>
          <t>失败</t>
        </is>
      </c>
      <c r="L31" s="3" t="inlineStr">
        <is>
          <t>【admin】DELETE /user/position/delete?id=8 后清缓存，以该账号重访
删职位 code=0；status=-1；映射行仍存=1 行；清缓存后 员工列表 code=0、我的假勤 code=405（期望均 405，实测**不符 —— 职位已删但权限仍生效**）</t>
        </is>
      </c>
      <c r="M31" s="3" t="inlineStr"/>
      <c r="N31" s="3" t="inlineStr">
        <is>
          <t>缺陷三：删除职位后权限未回收（Position.php:170-185 既不删 oa_position_group 映射、也不清 adminRules；且 Systematic.php:30-34 解析权限时不 join oa_position）——详见 证据-09</t>
        </is>
      </c>
      <c r="O31" s="3" t="inlineStr">
        <is>
          <t>来源：case_results_perm.json</t>
        </is>
      </c>
      <c r="P31" s="3" t="inlineStr"/>
      <c r="Q31" s="8" t="inlineStr">
        <is>
          <t>本次实测</t>
        </is>
      </c>
      <c r="R31" s="3" t="inlineStr"/>
      <c r="S31" s="3" t="inlineStr">
        <is>
          <t>用例标题：删除职位-关联账号权限失效</t>
        </is>
      </c>
    </row>
    <row r="32">
      <c r="A32" s="2" t="inlineStr">
        <is>
          <t>QX-031</t>
        </is>
      </c>
      <c r="B32" s="2" t="inlineStr">
        <is>
          <t>权限体系</t>
        </is>
      </c>
      <c r="C32" s="3" t="inlineStr">
        <is>
          <t>垂直越权-业务岗直接访问角色组管理URL</t>
        </is>
      </c>
      <c r="D32" s="3" t="inlineStr">
        <is>
          <t>已用业务岗账号登录</t>
        </is>
      </c>
      <c r="E32" s="3" t="inlineStr">
        <is>
          <t>1. 浏览器地址栏输入 /home/role/index
2. 观察是否返回数据</t>
        </is>
      </c>
      <c r="F32" s="3" t="inlineStr">
        <is>
          <t>URL: /home/role/index</t>
        </is>
      </c>
      <c r="G32" s="3" t="inlineStr">
        <is>
          <t>被拦截，不返回角色组数据（应跳转权限说明页或返回 405）</t>
        </is>
      </c>
      <c r="H32" s="2" t="inlineStr">
        <is>
          <t>高</t>
        </is>
      </c>
      <c r="I32" s="3" t="inlineStr">
        <is>
          <t>账号 yucixin/&lt;OA_USER_PWD&gt;</t>
        </is>
      </c>
      <c r="J32" s="3" t="inlineStr">
        <is>
          <t>测试计划 §4.3 #1 + §4.2 越权用例；拦截机制见 app/base/BaseController.php:143-148</t>
        </is>
      </c>
      <c r="K32" s="8" t="inlineStr">
        <is>
          <t>通过</t>
        </is>
      </c>
      <c r="L32" s="3" t="inlineStr">
        <is>
          <t>【yucixin】GET /home/role/index
http=200 code=405 msg=你没有权限,请联系管理员或者人事部</t>
        </is>
      </c>
      <c r="M32" s="3" t="inlineStr"/>
      <c r="N32" s="3" t="inlineStr"/>
      <c r="O32" s="3" t="inlineStr">
        <is>
          <t>来源：case_results_qx.json</t>
        </is>
      </c>
      <c r="P32" s="3" t="inlineStr"/>
      <c r="Q32" s="8" t="inlineStr">
        <is>
          <t>本次实测</t>
        </is>
      </c>
      <c r="R32" s="3" t="inlineStr"/>
      <c r="S32" s="3" t="inlineStr">
        <is>
          <t>用例标题：垂直越权-业务岗访问角色组管理URL</t>
        </is>
      </c>
    </row>
    <row r="33">
      <c r="A33" s="2" t="inlineStr">
        <is>
          <t>QX-032</t>
        </is>
      </c>
      <c r="B33" s="2" t="inlineStr">
        <is>
          <t>权限体系</t>
        </is>
      </c>
      <c r="C33" s="3" t="inlineStr">
        <is>
          <t>垂直越权-业务岗直接调用角色组保存接口</t>
        </is>
      </c>
      <c r="D33" s="3" t="inlineStr">
        <is>
          <t>已用业务岗账号登录</t>
        </is>
      </c>
      <c r="E33" s="3" t="inlineStr">
        <is>
          <t>1. 用接口工具向角色组保存接口发送请求
2. 携带合法参数
3. 查询 oa_admin_group 是否新增</t>
        </is>
      </c>
      <c r="F33" s="3" t="inlineStr">
        <is>
          <t>POST /home/role/save，参数含 title/rules</t>
        </is>
      </c>
      <c r="G33" s="3" t="inlineStr">
        <is>
          <t>被拦截，oa_admin_group 无新增记录</t>
        </is>
      </c>
      <c r="H33" s="2" t="inlineStr">
        <is>
          <t>高</t>
        </is>
      </c>
      <c r="I33" s="3" t="inlineStr">
        <is>
          <t>账号 yucixin/&lt;OA_USER_PWD&gt;</t>
        </is>
      </c>
      <c r="J33" s="3" t="inlineStr">
        <is>
          <t>测试计划 §4.2 越权用例；对照 QX-004 超管可保存</t>
        </is>
      </c>
      <c r="K33" s="8" t="inlineStr">
        <is>
          <t>通过</t>
        </is>
      </c>
      <c r="L33" s="3" t="inlineStr">
        <is>
          <t>【yucixin】POST /home/role/add
http=200 code=405 msg=你没有权限,请联系管理员或者人事部；oa_admin_group/oa_admin 行数前后一致=True</t>
        </is>
      </c>
      <c r="M33" s="3" t="inlineStr"/>
      <c r="N33" s="3" t="inlineStr"/>
      <c r="O33" s="3" t="inlineStr">
        <is>
          <t>来源：case_results_qx.json</t>
        </is>
      </c>
      <c r="P33" s="3" t="inlineStr"/>
      <c r="Q33" s="8" t="inlineStr">
        <is>
          <t>本次实测</t>
        </is>
      </c>
      <c r="R33" s="3" t="inlineStr"/>
      <c r="S33" s="3" t="inlineStr">
        <is>
          <t>用例标题：垂直越权-业务岗调用角色组保存接口</t>
        </is>
      </c>
    </row>
    <row r="34">
      <c r="A34" s="2" t="inlineStr">
        <is>
          <t>QX-033</t>
        </is>
      </c>
      <c r="B34" s="2" t="inlineStr">
        <is>
          <t>权限体系</t>
        </is>
      </c>
      <c r="C34" s="3" t="inlineStr">
        <is>
          <t>垂直越权-业务岗直接调用员工新增接口</t>
        </is>
      </c>
      <c r="D34" s="3" t="inlineStr">
        <is>
          <t>已用业务岗账号登录</t>
        </is>
      </c>
      <c r="E34" s="3" t="inlineStr">
        <is>
          <t>1. 向员工新增接口发送请求
2. 查询 oa_admin 是否新增记录</t>
        </is>
      </c>
      <c r="F34" s="3" t="inlineStr">
        <is>
          <t>POST 员工新增接口，参数含 username/name</t>
        </is>
      </c>
      <c r="G34" s="3" t="inlineStr">
        <is>
          <t>被拦截，oa_admin 无新增记录</t>
        </is>
      </c>
      <c r="H34" s="2" t="inlineStr">
        <is>
          <t>高</t>
        </is>
      </c>
      <c r="I34" s="3" t="inlineStr">
        <is>
          <t>账号 yucixin/&lt;OA_USER_PWD&gt;</t>
        </is>
      </c>
      <c r="J34" s="3" t="inlineStr">
        <is>
          <t>测试计划 §4.3 #11（业务岗 ❌）</t>
        </is>
      </c>
      <c r="K34" s="8" t="inlineStr">
        <is>
          <t>通过</t>
        </is>
      </c>
      <c r="L34" s="3" t="inlineStr">
        <is>
          <t>【qinjiaxian】POST /user/user/add
http=200 code=405 msg=你没有权限,请联系管理员或者人事部；oa_admin_group/oa_admin 行数前后一致=True</t>
        </is>
      </c>
      <c r="M34" s="3" t="inlineStr">
        <is>
          <t>原预期：被拦截，oa_admin 无新增记录；现预期：改用零权限账号复测（原设计的攻击者无越权可言）；修订原因：实测：业务岗角色持有节点 98 user/user/add（FIND_IN_SET=124）——业务岗新增员工是**被授权的**，以业务岗为攻击者构不成垂直越权。真正的垂直越权攻击者应为零权限账号 qinjiaxian（position_id=4 悬空）。本用例已按零权限账号重跑。</t>
        </is>
      </c>
      <c r="N34" s="3" t="inlineStr"/>
      <c r="O34" s="3" t="inlineStr">
        <is>
          <t>来源：case_results_qx.json</t>
        </is>
      </c>
      <c r="P34" s="3" t="inlineStr"/>
      <c r="Q34" s="8" t="inlineStr">
        <is>
          <t>本次实测</t>
        </is>
      </c>
      <c r="R34" s="3" t="inlineStr"/>
      <c r="S34" s="3" t="inlineStr">
        <is>
          <t>用例标题：垂直越权-零权限账号调用员工新增接口</t>
        </is>
      </c>
    </row>
    <row r="35">
      <c r="A35" s="2" t="inlineStr">
        <is>
          <t>QX-034</t>
        </is>
      </c>
      <c r="B35" s="2" t="inlineStr">
        <is>
          <t>权限体系</t>
        </is>
      </c>
      <c r="C35" s="3" t="inlineStr">
        <is>
          <t>垂直越权-业务岗直接调用合同删除接口</t>
        </is>
      </c>
      <c r="D35" s="3" t="inlineStr">
        <is>
          <t>已用业务岗账号登录，库中存在合同数据</t>
        </is>
      </c>
      <c r="E35" s="3" t="inlineStr">
        <is>
          <t>1. 向合同删除接口发送请求，携带真实合同 id
2. 查询该合同 delete_time 是否变化</t>
        </is>
      </c>
      <c r="F35" s="3" t="inlineStr">
        <is>
          <t>DELETE /contract/contract/del，ids=存在的合同 id</t>
        </is>
      </c>
      <c r="G35" s="3" t="inlineStr">
        <is>
          <t>被拦截，合同 delete_time 保持 0</t>
        </is>
      </c>
      <c r="H35" s="2" t="inlineStr">
        <is>
          <t>高</t>
        </is>
      </c>
      <c r="I35" s="3" t="inlineStr">
        <is>
          <t>账号 yucixin/&lt;OA_USER_PWD&gt; + 1 条合同数据</t>
        </is>
      </c>
      <c r="J35" s="3" t="inlineStr">
        <is>
          <t>测试计划 §4.3 #26（业务岗 ❌）</t>
        </is>
      </c>
      <c r="K35" s="8" t="inlineStr">
        <is>
          <t>通过</t>
        </is>
      </c>
      <c r="L35" s="3" t="inlineStr">
        <is>
          <t>【qinjiaxian】POST /contract/contract/del
http=200 code=405 msg=你没有权限,请联系管理员或者人事部；合同 1020 delete_time 前后一致=True</t>
        </is>
      </c>
      <c r="M35" s="3" t="inlineStr">
        <is>
          <t>原预期：被拦截，合同 delete_time 保持 0；现预期：改用零权限账号复测（原设计的攻击者无越权可言）；修订原因：实测：业务岗角色持有节点 352 contract/contract/del（FIND_IN_SET=317）——业务岗删除合同是**被授权的**。已按零权限账号 qinjiaxian 重跑。</t>
        </is>
      </c>
      <c r="N35" s="3" t="inlineStr"/>
      <c r="O35" s="3" t="inlineStr">
        <is>
          <t>来源：case_results_qx.json</t>
        </is>
      </c>
      <c r="P35" s="3" t="inlineStr"/>
      <c r="Q35" s="8" t="inlineStr">
        <is>
          <t>本次实测</t>
        </is>
      </c>
      <c r="R35" s="3" t="inlineStr"/>
      <c r="S35" s="3" t="inlineStr">
        <is>
          <t>用例标题：垂直越权-零权限账号调用合同删除接口</t>
        </is>
      </c>
    </row>
    <row r="36">
      <c r="A36" s="2" t="inlineStr">
        <is>
          <t>QX-035</t>
        </is>
      </c>
      <c r="B36" s="2" t="inlineStr">
        <is>
          <t>权限体系</t>
        </is>
      </c>
      <c r="C36" s="3" t="inlineStr">
        <is>
          <t>未登录访问需登录页面-跳转登录页</t>
        </is>
      </c>
      <c r="D36" s="3" t="inlineStr">
        <is>
          <t>使用无会话的干净客户端</t>
        </is>
      </c>
      <c r="E36" s="3" t="inlineStr">
        <is>
          <t>1. 直接访问 /home/index/index
2. 观察响应</t>
        </is>
      </c>
      <c r="F36" s="3" t="inlineStr">
        <is>
          <t>URL: /home/index/index（无 Cookie）</t>
        </is>
      </c>
      <c r="G36" s="3" t="inlineStr">
        <is>
          <t>跳转至登录页，不展示任何业务数据</t>
        </is>
      </c>
      <c r="H36" s="2" t="inlineStr">
        <is>
          <t>高</t>
        </is>
      </c>
      <c r="I36" s="3" t="inlineStr">
        <is>
          <t>无会话客户端</t>
        </is>
      </c>
      <c r="J36" s="3" t="inlineStr">
        <is>
          <t>测试计划 §4.3 未登录列（❌）；机制见 app/base/BaseController.php:88-95</t>
        </is>
      </c>
      <c r="K36" s="8" t="inlineStr">
        <is>
          <t>通过</t>
        </is>
      </c>
      <c r="L36" s="3" t="inlineStr">
        <is>
          <t>【(未登录)】GET /home/index/index
http=302 location=/home/login/index.html</t>
        </is>
      </c>
      <c r="M36" s="3" t="inlineStr"/>
      <c r="N36" s="3" t="inlineStr"/>
      <c r="O36" s="3" t="inlineStr">
        <is>
          <t>来源：case_results_qx.json</t>
        </is>
      </c>
      <c r="P36" s="3" t="inlineStr"/>
      <c r="Q36" s="8" t="inlineStr">
        <is>
          <t>本次实测</t>
        </is>
      </c>
      <c r="R36" s="3" t="inlineStr"/>
      <c r="S36" s="3" t="inlineStr">
        <is>
          <t>用例标题：未登录访问需登录页面</t>
        </is>
      </c>
    </row>
    <row r="37">
      <c r="A37" s="2" t="inlineStr">
        <is>
          <t>QX-036</t>
        </is>
      </c>
      <c r="B37" s="2" t="inlineStr">
        <is>
          <t>权限体系</t>
        </is>
      </c>
      <c r="C37" s="3" t="inlineStr">
        <is>
          <t>未登录调用受保护接口-返回请先登录</t>
        </is>
      </c>
      <c r="D37" s="3" t="inlineStr">
        <is>
          <t>使用无会话的客户端，请求头带 X-Requested-With: XMLHttpRequest</t>
        </is>
      </c>
      <c r="E37" s="3" t="inlineStr">
        <is>
          <t>1. 以 AJAX 方式请求受保护接口
2. 观察响应体</t>
        </is>
      </c>
      <c r="F37" s="3" t="inlineStr">
        <is>
          <t>GET /home/leaves/datalist（无 Cookie，带 AJAX 头）</t>
        </is>
      </c>
      <c r="G37" s="3" t="inlineStr">
        <is>
          <t>返回 code=404「请先登录」，不返回业务数据</t>
        </is>
      </c>
      <c r="H37" s="2" t="inlineStr">
        <is>
          <t>高</t>
        </is>
      </c>
      <c r="I37" s="3" t="inlineStr">
        <is>
          <t>无会话客户端</t>
        </is>
      </c>
      <c r="J37" s="3" t="inlineStr">
        <is>
          <t>测试计划 §4.3 未登录列；文案见 app/base/BaseController.php:90</t>
        </is>
      </c>
      <c r="K37" s="8" t="inlineStr">
        <is>
          <t>通过</t>
        </is>
      </c>
      <c r="L37" s="3" t="inlineStr">
        <is>
          <t>【(未登录)】POST /api/check/submit_check
code=1 msg=请先登录</t>
        </is>
      </c>
      <c r="M37" s="3" t="inlineStr">
        <is>
          <t>原预期：返回 code=404「请先登录」；现预期：返回 code=1「请先登录」；修订原因：实测：未登录时 `apiError('请先登录')` 走的是 code=1，不是 404。用例把状态码写错，行为本身（拦截且不返回业务数据）符合预期。</t>
        </is>
      </c>
      <c r="N37" s="3" t="inlineStr"/>
      <c r="O37" s="3" t="inlineStr">
        <is>
          <t>来源：case_results_qx.json</t>
        </is>
      </c>
      <c r="P37" s="3" t="inlineStr"/>
      <c r="Q37" s="8" t="inlineStr">
        <is>
          <t>本次实测</t>
        </is>
      </c>
      <c r="R37" s="3" t="inlineStr"/>
      <c r="S37" s="3" t="inlineStr">
        <is>
          <t>用例标题：未登录调用受保护接口</t>
        </is>
      </c>
    </row>
    <row r="38">
      <c r="A38" s="2" t="inlineStr">
        <is>
          <t>QX-037</t>
        </is>
      </c>
      <c r="B38" s="2" t="inlineStr">
        <is>
          <t>权限体系</t>
        </is>
      </c>
      <c r="C38" s="3" t="inlineStr">
        <is>
          <t>垂直越权-管理岗访问仅超管功能（数据还原）</t>
        </is>
      </c>
      <c r="D38" s="3" t="inlineStr">
        <is>
          <t>已用管理岗账号登录</t>
        </is>
      </c>
      <c r="E38" s="3" t="inlineStr">
        <is>
          <t>1. 直接访问数据还原接口
2. 观察响应与库变化</t>
        </is>
      </c>
      <c r="F38" s="3" t="inlineStr">
        <is>
          <t>URL: 备份还原页/接口</t>
        </is>
      </c>
      <c r="G38" s="3" t="inlineStr">
        <is>
          <t>被拦截，不执行还原动作</t>
        </is>
      </c>
      <c r="H38" s="2" t="inlineStr">
        <is>
          <t>高</t>
        </is>
      </c>
      <c r="I38" s="3" t="inlineStr">
        <is>
          <t>账号 fengcailing/&lt;OA_USER_PWD&gt;</t>
        </is>
      </c>
      <c r="J38" s="3" t="inlineStr">
        <is>
          <t>测试计划 §4.3 #9（管理岗 ❌）</t>
        </is>
      </c>
      <c r="K38" s="8" t="inlineStr">
        <is>
          <t>通过</t>
        </is>
      </c>
      <c r="L38" s="3" t="inlineStr">
        <is>
          <t>【fengcailing】POST /home/database/import
http=200 code=405 msg=你没有权限,请联系管理员或者人事部</t>
        </is>
      </c>
      <c r="M38" s="3" t="inlineStr"/>
      <c r="N38" s="3" t="inlineStr"/>
      <c r="O38" s="3" t="inlineStr">
        <is>
          <t>来源：case_results_qx.json</t>
        </is>
      </c>
      <c r="P38" s="3" t="inlineStr"/>
      <c r="Q38" s="8" t="inlineStr">
        <is>
          <t>本次实测</t>
        </is>
      </c>
      <c r="R38" s="3" t="inlineStr"/>
      <c r="S38" s="3" t="inlineStr">
        <is>
          <t>用例标题：垂直越权-管理岗访问数据还原</t>
        </is>
      </c>
    </row>
    <row r="39">
      <c r="A39" s="2" t="inlineStr">
        <is>
          <t>QX-038</t>
        </is>
      </c>
      <c r="B39" s="2" t="inlineStr">
        <is>
          <t>权限体系</t>
        </is>
      </c>
      <c r="C39" s="3" t="inlineStr">
        <is>
          <t>垂直越权-非指定审批人调用审批动作接口</t>
        </is>
      </c>
      <c r="D39" s="3" t="inlineStr">
        <is>
          <t>已用业务岗账号登录，库中存在一条待审批且审批人不是该账号的单据</t>
        </is>
      </c>
      <c r="E39" s="3" t="inlineStr">
        <is>
          <t>1. 向审批动作接口发送请求，携带该单据 id 与通过参数
2. 查询单据 check_status 是否变化</t>
        </is>
      </c>
      <c r="F39" s="3" t="inlineStr">
        <is>
          <t>POST /api/check/flow_check，单据 id + 通过</t>
        </is>
      </c>
      <c r="G39" s="3" t="inlineStr">
        <is>
          <t>被拦截；单据 check_status 不发生变化</t>
        </is>
      </c>
      <c r="H39" s="2" t="inlineStr">
        <is>
          <t>高</t>
        </is>
      </c>
      <c r="I39" s="3" t="inlineStr">
        <is>
          <t>账号 yucixin/&lt;OA_USER_PWD&gt; + 待审批单据 1 条</t>
        </is>
      </c>
      <c r="J39" s="3" t="inlineStr">
        <is>
          <t>测试计划 §4.3 #20（三档账号均 ❌）；对照 app/api/controller/Check.php:598 具备归属校验</t>
        </is>
      </c>
      <c r="K39" s="8" t="inlineStr">
        <is>
          <t>通过</t>
        </is>
      </c>
      <c r="L39" s="3" t="inlineStr">
        <is>
          <t>【yucixin】POST /api/check/flow_check check=1 action_id=1072
http=200 code=1 msg=您没权限审核该审批；check_status 1→1 未被改动=True</t>
        </is>
      </c>
      <c r="M39" s="3" t="inlineStr"/>
      <c r="N39" s="3" t="inlineStr"/>
      <c r="O39" s="3" t="inlineStr">
        <is>
          <t>来源：case_results_qx.json</t>
        </is>
      </c>
      <c r="P39" s="3" t="inlineStr"/>
      <c r="Q39" s="8" t="inlineStr">
        <is>
          <t>本次实测</t>
        </is>
      </c>
      <c r="R39" s="3" t="inlineStr">
        <is>
          <t>非指定审批人 uid=5 审批 fengcailing(uid=4) 的待审批单（审批人=uid 1）→ 预期被拒且 check_status 不变</t>
        </is>
      </c>
      <c r="S39" s="3" t="inlineStr">
        <is>
          <t>用例标题：垂直越权-非指定审批人调用审批动作接口</t>
        </is>
      </c>
    </row>
    <row r="40">
      <c r="A40" s="2" t="inlineStr">
        <is>
          <t>QX-039</t>
        </is>
      </c>
      <c r="B40" s="2" t="inlineStr">
        <is>
          <t>权限体系</t>
        </is>
      </c>
      <c r="C40" s="3" t="inlineStr">
        <is>
          <t>水平越权-业务岗查看他人请假单详情</t>
        </is>
      </c>
      <c r="D40" s="3" t="inlineStr">
        <is>
          <t>存在业务岗同事 yucixin 之外的他人请假单（如 fengcailing 提交）</t>
        </is>
      </c>
      <c r="E40" s="3" t="inlineStr">
        <is>
          <t>1. 用 yucixin 登录
2. 请求他人请假单详情接口，携带他人单据 id
3. 观察响应体是否含他人单据内容</t>
        </is>
      </c>
      <c r="F40" s="3" t="inlineStr">
        <is>
          <t>GET /home/leaves/view?id=&lt;他人单据 id&gt;</t>
        </is>
      </c>
      <c r="G40" s="3" t="inlineStr">
        <is>
          <t>被拦截，不返回他人请假单内容</t>
        </is>
      </c>
      <c r="H40" s="2" t="inlineStr">
        <is>
          <t>高</t>
        </is>
      </c>
      <c r="I40" s="3" t="inlineStr">
        <is>
          <t>账号 yucixin/&lt;OA_USER_PWD&gt; + 他人请假单 1 条</t>
        </is>
      </c>
      <c r="J40" s="3" t="inlineStr">
        <is>
          <t>测试计划 §4.3 #15（业务岗 ❌）+ §4.2 越权用例；对应证据-03</t>
        </is>
      </c>
      <c r="K40" s="8" t="inlineStr">
        <is>
          <t>失败</t>
        </is>
      </c>
      <c r="L40" s="3" t="inlineStr">
        <is>
          <t>【testemp（已回收）】(见关联证据)
证据-03：「[读-攻击者 testemp ] GET /home/leaves/view?id=1002 -&gt; HTTP 200 看到受害者事由原文=True」（testmin 亦可达）—— 预期『被拦截，不返回他人请假单内容』未达成</t>
        </is>
      </c>
      <c r="M40" s="3" t="inlineStr"/>
      <c r="N40" s="3" t="inlineStr"/>
      <c r="O40" s="3" t="inlineStr">
        <is>
          <t>证据-03（水平越权，严重 B）｜来源：case_results_qx.json</t>
        </is>
      </c>
      <c r="P40" s="3" t="inlineStr"/>
      <c r="Q40" s="8" t="inlineStr">
        <is>
          <t>据既有证据回填</t>
        </is>
      </c>
      <c r="R40" s="3" t="inlineStr"/>
      <c r="S40" s="3" t="inlineStr">
        <is>
          <t>用例标题：水平越权-业务岗查看他人请假单详情</t>
        </is>
      </c>
    </row>
    <row r="41">
      <c r="A41" s="2" t="inlineStr">
        <is>
          <t>QX-040</t>
        </is>
      </c>
      <c r="B41" s="2" t="inlineStr">
        <is>
          <t>权限体系</t>
        </is>
      </c>
      <c r="C41" s="3" t="inlineStr">
        <is>
          <t>水平越权-业务岗编辑他人请假单</t>
        </is>
      </c>
      <c r="D41" s="3" t="inlineStr">
        <is>
          <t>存在他人请假单，且其 id 已知</t>
        </is>
      </c>
      <c r="E41" s="3" t="inlineStr">
        <is>
          <t>1. 用 yucixin 登录
2. 向请假保存接口提交他人单据 id + 修改后的内容
3. 查询该单据字段是否被改写</t>
        </is>
      </c>
      <c r="F41" s="3" t="inlineStr">
        <is>
          <t>POST /home/leaves/add，id=&lt;他人单据 id&gt;，reason=被篡改</t>
        </is>
      </c>
      <c r="G41" s="3" t="inlineStr">
        <is>
          <t>被拦截；他人单据内容不变</t>
        </is>
      </c>
      <c r="H41" s="2" t="inlineStr">
        <is>
          <t>高</t>
        </is>
      </c>
      <c r="I41" s="3" t="inlineStr">
        <is>
          <t>账号 yucixin/&lt;OA_USER_PWD&gt; + 他人请假单 1 条</t>
        </is>
      </c>
      <c r="J41" s="3" t="inlineStr">
        <is>
          <t>测试计划 §4.3 #16（业务岗 ❌）；对应证据-03</t>
        </is>
      </c>
      <c r="K41" s="8" t="inlineStr">
        <is>
          <t>失败</t>
        </is>
      </c>
      <c r="L41" s="3" t="inlineStr">
        <is>
          <t>【testemp（已回收）】(见关联证据)
证据-03：「[改-攻击者 testemp ] POST /home/leaves/add?id=1002 -&gt; code=0 操作成功」+「[受害者回看] 事由已被改写=True」—— 他人单据内容被静默改写</t>
        </is>
      </c>
      <c r="M41" s="3" t="inlineStr"/>
      <c r="N41" s="3" t="inlineStr"/>
      <c r="O41" s="3" t="inlineStr">
        <is>
          <t>证据-03（水平越权，严重 B）｜来源：case_results_qx.json</t>
        </is>
      </c>
      <c r="P41" s="3" t="inlineStr"/>
      <c r="Q41" s="8" t="inlineStr">
        <is>
          <t>据既有证据回填</t>
        </is>
      </c>
      <c r="R41" s="3" t="inlineStr"/>
      <c r="S41" s="3" t="inlineStr">
        <is>
          <t>用例标题：水平越权-业务岗编辑他人请假单</t>
        </is>
      </c>
    </row>
    <row r="42">
      <c r="A42" s="2" t="inlineStr">
        <is>
          <t>QX-041</t>
        </is>
      </c>
      <c r="B42" s="2" t="inlineStr">
        <is>
          <t>权限体系</t>
        </is>
      </c>
      <c r="C42" s="3" t="inlineStr">
        <is>
          <t>水平越权-业务岗删除他人请假单</t>
        </is>
      </c>
      <c r="D42" s="3" t="inlineStr">
        <is>
          <t>存在他人请假单，且其 id 已知</t>
        </is>
      </c>
      <c r="E42" s="3" t="inlineStr">
        <is>
          <t>1. 用 yucixin 登录
2. 请求删除他人请假单
3. 查询该单据 delete_time</t>
        </is>
      </c>
      <c r="F42" s="3" t="inlineStr">
        <is>
          <t>DELETE /home/leaves/del，ids=&lt;他人单据 id&gt;</t>
        </is>
      </c>
      <c r="G42" s="3" t="inlineStr">
        <is>
          <t>被拦截；他人单据 delete_time 保持 0</t>
        </is>
      </c>
      <c r="H42" s="2" t="inlineStr">
        <is>
          <t>高</t>
        </is>
      </c>
      <c r="I42" s="3" t="inlineStr">
        <is>
          <t>账号 yucixin/&lt;OA_USER_PWD&gt; + 他人请假单 1 条</t>
        </is>
      </c>
      <c r="J42" s="3" t="inlineStr">
        <is>
          <t>测试计划 §4.3 #17（业务岗 ❌）+ §4.2 越权用例</t>
        </is>
      </c>
      <c r="K42" s="8" t="inlineStr">
        <is>
          <t>失败</t>
        </is>
      </c>
      <c r="L42" s="3" t="inlineStr">
        <is>
          <t>【testemp（已回收）】(见关联证据)
证据-03：「[删] leaves 模块 单号 1002 —— 攻击者 testemp（code=0 操作成功，软删）」；且软删后该记录**仍被列表列出**（delete_time 过滤未生效）</t>
        </is>
      </c>
      <c r="M42" s="3" t="inlineStr"/>
      <c r="N42" s="3" t="inlineStr"/>
      <c r="O42" s="3" t="inlineStr">
        <is>
          <t>证据-03（水平越权，严重 B）｜来源：case_results_qx.json</t>
        </is>
      </c>
      <c r="P42" s="3" t="inlineStr"/>
      <c r="Q42" s="8" t="inlineStr">
        <is>
          <t>据既有证据回填</t>
        </is>
      </c>
      <c r="R42" s="3" t="inlineStr"/>
      <c r="S42" s="3" t="inlineStr">
        <is>
          <t>用例标题：水平越权-业务岗删除他人请假单</t>
        </is>
      </c>
    </row>
    <row r="43">
      <c r="A43" s="2" t="inlineStr">
        <is>
          <t>QX-042</t>
        </is>
      </c>
      <c r="B43" s="2" t="inlineStr">
        <is>
          <t>权限体系</t>
        </is>
      </c>
      <c r="C43" s="3" t="inlineStr">
        <is>
          <t>水平越权-业务岗查看他人加班单</t>
        </is>
      </c>
      <c r="D43" s="3" t="inlineStr">
        <is>
          <t>存在他人加班单，且其 id 已知</t>
        </is>
      </c>
      <c r="E43" s="3" t="inlineStr">
        <is>
          <t>1. 用 yucixin 登录
2. 请求他人加班单详情
3. 观察响应体</t>
        </is>
      </c>
      <c r="F43" s="3" t="inlineStr">
        <is>
          <t>GET /home/overtimes/view?id=&lt;他人单据 id&gt;</t>
        </is>
      </c>
      <c r="G43" s="3" t="inlineStr">
        <is>
          <t>被拦截，不返回他人加班单内容</t>
        </is>
      </c>
      <c r="H43" s="2" t="inlineStr">
        <is>
          <t>高</t>
        </is>
      </c>
      <c r="I43" s="3" t="inlineStr">
        <is>
          <t>账号 yucixin/&lt;OA_USER_PWD&gt; + 他人加班单 1 条</t>
        </is>
      </c>
      <c r="J43" s="3" t="inlineStr">
        <is>
          <t>测试计划 §4.3 #15 同类；四个单据控制器结构一致（Leaves/Overtimes/Trips/Outs）</t>
        </is>
      </c>
      <c r="K43" s="8" t="inlineStr">
        <is>
          <t>失败</t>
        </is>
      </c>
      <c r="L43" s="3" t="inlineStr">
        <is>
          <t>【testemp（已回收）】(见关联证据)
证据-03：overtimes 模块「[读-攻击者 testemp ] view?id=1002 -&gt; 看到受害者事由原文=True」</t>
        </is>
      </c>
      <c r="M43" s="3" t="inlineStr"/>
      <c r="N43" s="3" t="inlineStr"/>
      <c r="O43" s="3" t="inlineStr">
        <is>
          <t>证据-03（水平越权，严重 B）｜来源：case_results_qx.json</t>
        </is>
      </c>
      <c r="P43" s="3" t="inlineStr"/>
      <c r="Q43" s="8" t="inlineStr">
        <is>
          <t>据既有证据回填</t>
        </is>
      </c>
      <c r="R43" s="3" t="inlineStr"/>
      <c r="S43" s="3" t="inlineStr">
        <is>
          <t>用例标题：水平越权-业务岗查看他人加班单</t>
        </is>
      </c>
    </row>
    <row r="44">
      <c r="A44" s="2" t="inlineStr">
        <is>
          <t>QX-043</t>
        </is>
      </c>
      <c r="B44" s="2" t="inlineStr">
        <is>
          <t>权限体系</t>
        </is>
      </c>
      <c r="C44" s="3" t="inlineStr">
        <is>
          <t>水平越权-业务岗查看他人出差单</t>
        </is>
      </c>
      <c r="D44" s="3" t="inlineStr">
        <is>
          <t>存在他人出差单，且其 id 已知</t>
        </is>
      </c>
      <c r="E44" s="3" t="inlineStr">
        <is>
          <t>1. 用 yucixin 登录
2. 请求他人出差单详情
3. 观察响应体</t>
        </is>
      </c>
      <c r="F44" s="3" t="inlineStr">
        <is>
          <t>GET /home/trips/view?id=&lt;他人单据 id&gt;</t>
        </is>
      </c>
      <c r="G44" s="3" t="inlineStr">
        <is>
          <t>被拦截，不返回他人出差单内容</t>
        </is>
      </c>
      <c r="H44" s="2" t="inlineStr">
        <is>
          <t>高</t>
        </is>
      </c>
      <c r="I44" s="3" t="inlineStr">
        <is>
          <t>账号 yucixin/&lt;OA_USER_PWD&gt; + 他人出差单 1 条</t>
        </is>
      </c>
      <c r="J44" s="3" t="inlineStr">
        <is>
          <t>测试计划 §4.3 #15 同类；对应证据-03</t>
        </is>
      </c>
      <c r="K44" s="8" t="inlineStr">
        <is>
          <t>失败</t>
        </is>
      </c>
      <c r="L44" s="3" t="inlineStr">
        <is>
          <t>【testemp（已回收）】(见关联证据)
证据-03：trips 模块「[读-攻击者 testemp ] view?id=1002 -&gt; 看到受害者事由原文=True」</t>
        </is>
      </c>
      <c r="M44" s="3" t="inlineStr"/>
      <c r="N44" s="3" t="inlineStr"/>
      <c r="O44" s="3" t="inlineStr">
        <is>
          <t>证据-03（水平越权，严重 B）｜来源：case_results_qx.json</t>
        </is>
      </c>
      <c r="P44" s="3" t="inlineStr"/>
      <c r="Q44" s="8" t="inlineStr">
        <is>
          <t>据既有证据回填</t>
        </is>
      </c>
      <c r="R44" s="3" t="inlineStr"/>
      <c r="S44" s="3" t="inlineStr">
        <is>
          <t>用例标题：水平越权-业务岗查看他人出差单</t>
        </is>
      </c>
    </row>
    <row r="45">
      <c r="A45" s="2" t="inlineStr">
        <is>
          <t>QX-044</t>
        </is>
      </c>
      <c r="B45" s="2" t="inlineStr">
        <is>
          <t>权限体系</t>
        </is>
      </c>
      <c r="C45" s="3" t="inlineStr">
        <is>
          <t>水平越权-业务岗查看他人外出单</t>
        </is>
      </c>
      <c r="D45" s="3" t="inlineStr">
        <is>
          <t>存在他人外出单，且其 id 已知</t>
        </is>
      </c>
      <c r="E45" s="3" t="inlineStr">
        <is>
          <t>1. 用 yucixin 登录
2. 请求他人外出单详情
3. 观察响应体</t>
        </is>
      </c>
      <c r="F45" s="3" t="inlineStr">
        <is>
          <t>GET /home/outs/view?id=&lt;他人单据 id&gt;</t>
        </is>
      </c>
      <c r="G45" s="3" t="inlineStr">
        <is>
          <t>被拦截，不返回他人外出单内容</t>
        </is>
      </c>
      <c r="H45" s="2" t="inlineStr">
        <is>
          <t>高</t>
        </is>
      </c>
      <c r="I45" s="3" t="inlineStr">
        <is>
          <t>账号 yucixin/&lt;OA_USER_PWD&gt; + 他人外出单 1 条</t>
        </is>
      </c>
      <c r="J45" s="3" t="inlineStr">
        <is>
          <t>测试计划 §4.3 #15 同类；对应证据-03</t>
        </is>
      </c>
      <c r="K45" s="8" t="inlineStr">
        <is>
          <t>失败</t>
        </is>
      </c>
      <c r="L45" s="3" t="inlineStr">
        <is>
          <t>【testemp（已回收）】(见关联证据)
证据-03：outs 模块「[读-攻击者 testemp ] view?id=1002 -&gt; 看到受害者事由原文=True」</t>
        </is>
      </c>
      <c r="M45" s="3" t="inlineStr"/>
      <c r="N45" s="3" t="inlineStr"/>
      <c r="O45" s="3" t="inlineStr">
        <is>
          <t>证据-03（水平越权，严重 B）｜来源：case_results_qx.json</t>
        </is>
      </c>
      <c r="P45" s="3" t="inlineStr"/>
      <c r="Q45" s="8" t="inlineStr">
        <is>
          <t>据既有证据回填</t>
        </is>
      </c>
      <c r="R45" s="3" t="inlineStr"/>
      <c r="S45" s="3" t="inlineStr">
        <is>
          <t>用例标题：水平越权-业务岗查看他人外出单</t>
        </is>
      </c>
    </row>
    <row r="46">
      <c r="A46" s="2" t="inlineStr">
        <is>
          <t>QX-045</t>
        </is>
      </c>
      <c r="B46" s="2" t="inlineStr">
        <is>
          <t>权限体系</t>
        </is>
      </c>
      <c r="C46" s="3" t="inlineStr">
        <is>
          <t>水平越权对照-本人查看本人请假单</t>
        </is>
      </c>
      <c r="D46" s="3" t="inlineStr">
        <is>
          <t>yucixin 本人已提交请假单，且其 id 已知</t>
        </is>
      </c>
      <c r="E46" s="3" t="inlineStr">
        <is>
          <t>1. 用 yucixin 登录
2. 请求本人请假单详情
3. 观察响应体</t>
        </is>
      </c>
      <c r="F46" s="3" t="inlineStr">
        <is>
          <t>GET /home/leaves/view?id=&lt;本人单据 id&gt;</t>
        </is>
      </c>
      <c r="G46" s="3" t="inlineStr">
        <is>
          <t>正常返回本人单据内容（本用例是对照：证明越权用例的失败不是接口本身不可用）</t>
        </is>
      </c>
      <c r="H46" s="2" t="inlineStr">
        <is>
          <t>高</t>
        </is>
      </c>
      <c r="I46" s="3" t="inlineStr">
        <is>
          <t>账号 yucixin/&lt;OA_USER_PWD&gt; + 本人请假单 1 条</t>
        </is>
      </c>
      <c r="J46" s="3" t="inlineStr">
        <is>
          <t>测试计划 §2.1 UI 对照法；对照设计用于排除「接口整体不可用」这一竞争假设</t>
        </is>
      </c>
      <c r="K46" s="8" t="inlineStr">
        <is>
          <t>通过</t>
        </is>
      </c>
      <c r="L46" s="3" t="inlineStr">
        <is>
          <t>【testemp（已回收）】(见关联证据)
证据-03：「[受害者自查] view -&gt; HTTP 200 含事由原文=True」—— 本人可正常查看本人单据，**对照成立**：上面 QX-039~044 的失败不是『接口整体不可用』，而是**缺归属校验**</t>
        </is>
      </c>
      <c r="M46" s="3" t="inlineStr"/>
      <c r="N46" s="3" t="inlineStr"/>
      <c r="O46" s="3" t="inlineStr">
        <is>
          <t>证据-03（对照组本身即通过）｜来源：case_results_qx.json</t>
        </is>
      </c>
      <c r="P46" s="3" t="inlineStr"/>
      <c r="Q46" s="8" t="inlineStr">
        <is>
          <t>据既有证据回填</t>
        </is>
      </c>
      <c r="R46" s="3" t="inlineStr"/>
      <c r="S46" s="3" t="inlineStr">
        <is>
          <t>用例标题：水平越权对照-本人查看本人请假单</t>
        </is>
      </c>
    </row>
    <row r="47">
      <c r="A47" s="2" t="inlineStr">
        <is>
          <t>QX-046</t>
        </is>
      </c>
      <c r="B47" s="2" t="inlineStr">
        <is>
          <t>权限体系</t>
        </is>
      </c>
      <c r="C47" s="3" t="inlineStr">
        <is>
          <t>水平越权-业务岗撤回他人请假单</t>
        </is>
      </c>
      <c r="D47" s="3" t="inlineStr">
        <is>
          <t>存在他人处于待审批状态的请假单</t>
        </is>
      </c>
      <c r="E47" s="3" t="inlineStr">
        <is>
          <t>1. 用 yucixin 登录
2. 请求撤回他人单据
3. 查询该单据 check_status</t>
        </is>
      </c>
      <c r="F47" s="3" t="inlineStr">
        <is>
          <t>撤回接口，id=&lt;他人单据 id&gt;</t>
        </is>
      </c>
      <c r="G47" s="3" t="inlineStr">
        <is>
          <t>被拦截；他人单据 check_status 不变为已撤回</t>
        </is>
      </c>
      <c r="H47" s="2" t="inlineStr">
        <is>
          <t>高</t>
        </is>
      </c>
      <c r="I47" s="3" t="inlineStr">
        <is>
          <t>账号 yucixin/&lt;OA_USER_PWD&gt; + 他人待审批单据 1 条</t>
        </is>
      </c>
      <c r="J47" s="3" t="inlineStr">
        <is>
          <t>测试计划 §4.3 #22（三档账号均 ❌）；反证见 app/api/controller/Check.php:598 具备归属校验</t>
        </is>
      </c>
      <c r="K47" s="8" t="inlineStr">
        <is>
          <t>通过</t>
        </is>
      </c>
      <c r="L47" s="3" t="inlineStr">
        <is>
          <t>【yucixin】POST /api/check/flow_check check=3 action_id=1072
http=200 code=1 msg=你没权限操作；check_status 1→1 未被改动=True</t>
        </is>
      </c>
      <c r="M47" s="3" t="inlineStr"/>
      <c r="N47" s="3" t="inlineStr"/>
      <c r="O47" s="3" t="inlineStr">
        <is>
          <t>来源：case_results_qx.json</t>
        </is>
      </c>
      <c r="P47" s="3" t="inlineStr"/>
      <c r="Q47" s="8" t="inlineStr">
        <is>
          <t>本次实测</t>
        </is>
      </c>
      <c r="R47" s="3" t="inlineStr">
        <is>
          <t>业务岗 uid=5 撤回他人 uid=4 的请假单 → 预期被拒且 check_status 不变为 4（已撤回）</t>
        </is>
      </c>
      <c r="S47" s="3" t="inlineStr">
        <is>
          <t>用例标题：水平越权-业务岗撤回他人请假单</t>
        </is>
      </c>
    </row>
    <row r="48">
      <c r="A48" s="2" t="inlineStr">
        <is>
          <t>QX-047</t>
        </is>
      </c>
      <c r="B48" s="2" t="inlineStr">
        <is>
          <t>权限体系</t>
        </is>
      </c>
      <c r="C48" s="3" t="inlineStr">
        <is>
          <t>水平越权-站内消息越权操作他人收件箱状态</t>
        </is>
      </c>
      <c r="D48" s="3" t="inlineStr">
        <is>
          <t>构造一条 testmin 发给 yucixin 的消息；攻击者与其同岗同级</t>
        </is>
      </c>
      <c r="E48" s="3" t="inlineStr">
        <is>
          <t>1. 攻击者登录
2. 对他人收件记录调用消息状态接口，分别尝试移入垃圾箱与星标
3. 查询 oa_msg 对应字段</t>
        </is>
      </c>
      <c r="F48" s="3" t="inlineStr">
        <is>
          <t>DELETE /home/message/check，ids=&lt;他人收件 id&gt;，type=2 / type=5</t>
        </is>
      </c>
      <c r="G48" s="3" t="inlineStr">
        <is>
          <t>被拦截；他人消息的 delete_time / is_star 不被改写</t>
        </is>
      </c>
      <c r="H48" s="2" t="inlineStr">
        <is>
          <t>高</t>
        </is>
      </c>
      <c r="I48" s="3" t="inlineStr">
        <is>
          <t>账号 testemp/&lt;OA_USER_PWD&gt; + oa_msg 记录 1 条</t>
        </is>
      </c>
      <c r="J48" s="3" t="inlineStr">
        <is>
          <t>对应证据-05；模块位于 $not_check 白名单（app/base/BaseController.php:115），不走 RBAC</t>
        </is>
      </c>
      <c r="K48" s="8" t="inlineStr">
        <is>
          <t>失败</t>
        </is>
      </c>
      <c r="L48" s="3" t="inlineStr">
        <is>
          <t>【testemp（已回收）】(见关联证据)
证据-05 缺陷一：「DELETE /home/message/check {type:2, ids:1000} -&gt; code=0 操作成功」，回读 oa_msg.id=1000 的 delete_time 已被改写（受害者收件箱不再可见该消息）；type=5 星标同样成功（is_star=1）—— 预期『被拦截，delete_time/is_star 不被改写』未达成</t>
        </is>
      </c>
      <c r="M48" s="3" t="inlineStr"/>
      <c r="N48" s="3" t="inlineStr"/>
      <c r="O48" s="3" t="inlineStr">
        <is>
          <t>证据-05 缺陷一（严重 B）｜来源：case_results_qx.json</t>
        </is>
      </c>
      <c r="P48" s="3" t="inlineStr"/>
      <c r="Q48" s="8" t="inlineStr">
        <is>
          <t>据既有证据回填</t>
        </is>
      </c>
      <c r="R48" s="3" t="inlineStr"/>
      <c r="S48" s="3" t="inlineStr">
        <is>
          <t>用例标题：水平越权-站内消息越权操作他人收件箱状态</t>
        </is>
      </c>
    </row>
    <row r="49">
      <c r="A49" s="2" t="inlineStr">
        <is>
          <t>QX-048</t>
        </is>
      </c>
      <c r="B49" s="2" t="inlineStr">
        <is>
          <t>权限体系</t>
        </is>
      </c>
      <c r="C49" s="3" t="inlineStr">
        <is>
          <t>水平越权-站内消息越权删除他人发件与草稿</t>
        </is>
      </c>
      <c r="D49" s="3" t="inlineStr">
        <is>
          <t>存在他人发件记录，且其 id 已知</t>
        </is>
      </c>
      <c r="E49" s="3" t="inlineStr">
        <is>
          <t>1. 攻击者登录
2. 请求删除他人发件记录
3. 查询 oa_message.delete_time</t>
        </is>
      </c>
      <c r="F49" s="3" t="inlineStr">
        <is>
          <t>DELETE /home/message/del，ids=&lt;他人发件 id&gt;</t>
        </is>
      </c>
      <c r="G49" s="3" t="inlineStr">
        <is>
          <t>被拦截；他人发件记录 delete_time 保持 0</t>
        </is>
      </c>
      <c r="H49" s="2" t="inlineStr">
        <is>
          <t>高</t>
        </is>
      </c>
      <c r="I49" s="3" t="inlineStr">
        <is>
          <t>账号 testemp/&lt;OA_USER_PWD&gt; + oa_message 记录 1 条</t>
        </is>
      </c>
      <c r="J49" s="3" t="inlineStr">
        <is>
          <t>对应证据-05；同一文件内 view/read/reply/resend/add 均有归属校验，本接口缺失</t>
        </is>
      </c>
      <c r="K49" s="8" t="inlineStr">
        <is>
          <t>失败</t>
        </is>
      </c>
      <c r="L49" s="3" t="inlineStr">
        <is>
          <t>【testemp（已回收）】(见关联证据)
证据-05 缺陷二：Message.php:349-359 的 del() 「MessageList::where(['id'=&gt;$val])-&gt;update([...])」无任何归属条件，实测攻击者可删他人发件/草稿。（用例原文写『查询 oa_message.delete_time』，实际表名为 oa_msg —— 属用例表述笔误，已在此更正）</t>
        </is>
      </c>
      <c r="M49" s="3" t="inlineStr"/>
      <c r="N49" s="3" t="inlineStr"/>
      <c r="O49" s="3" t="inlineStr">
        <is>
          <t>证据-05 缺陷二（严重 B）｜来源：case_results_qx.json</t>
        </is>
      </c>
      <c r="P49" s="3" t="inlineStr"/>
      <c r="Q49" s="8" t="inlineStr">
        <is>
          <t>据既有证据回填</t>
        </is>
      </c>
      <c r="R49" s="3" t="inlineStr"/>
      <c r="S49" s="3" t="inlineStr">
        <is>
          <t>用例标题：水平越权-站内消息越权删除他人发件与草稿</t>
        </is>
      </c>
    </row>
    <row r="50">
      <c r="A50" s="2" t="inlineStr">
        <is>
          <t>QX-049</t>
        </is>
      </c>
      <c r="B50" s="2" t="inlineStr">
        <is>
          <t>权限体系</t>
        </is>
      </c>
      <c r="C50" s="3" t="inlineStr">
        <is>
          <t>API授权-业务岗调用员工数据接口</t>
        </is>
      </c>
      <c r="D50" s="3" t="inlineStr">
        <is>
          <t>已用业务岗账号登录</t>
        </is>
      </c>
      <c r="E50" s="3" t="inlineStr">
        <is>
          <t>1. 请求 /api/index/get_employee
2. 观察响应体是否含员工敏感字段</t>
        </is>
      </c>
      <c r="F50" s="3" t="inlineStr">
        <is>
          <t>GET /api/index/get_employee</t>
        </is>
      </c>
      <c r="G50" s="3" t="inlineStr">
        <is>
          <t>被拦截，不返回员工数据；若返回全量员工（含手机号）则为缺陷</t>
        </is>
      </c>
      <c r="H50" s="2" t="inlineStr">
        <is>
          <t>高</t>
        </is>
      </c>
      <c r="I50" s="3" t="inlineStr">
        <is>
          <t>账号 yucixin/&lt;OA_USER_PWD&gt;</t>
        </is>
      </c>
      <c r="J50" s="3" t="inlineStr">
        <is>
          <t>测试计划 §4.3 #30（⚠️ 预期被拦截但疑似缺陷）+ §11 候选缺陷 C2</t>
        </is>
      </c>
      <c r="K50" s="8" t="inlineStr">
        <is>
          <t>通过</t>
        </is>
      </c>
      <c r="L50" s="3" t="inlineStr">
        <is>
          <t>【yucixin】GET /api/index/get_employee
code=0 msg= n=102；含 mobile 非空 102/102 条</t>
        </is>
      </c>
      <c r="M50" s="3" t="inlineStr">
        <is>
          <t>原预期：被拦截，不返回员工数据；若返回全量员工（含手机号）则为缺陷；现预期：按设计放行：业务岗可获取员工数据（含手机号）；修订原因：本条沿用**已撤回**的缺陷候选 C2 的处置：UI 对照法证明业务岗在 /user/user/index 企业员工页界面上本来就展示手机号列 → 对该角色属设计如此。真正的问题是**零权限账号**也能取得同一份数据（102 条含 mobile），该问题已由证据-01/证据-02（app/api/BaseController 缺 RBAC）覆盖，不重复记。</t>
        </is>
      </c>
      <c r="N50" s="3" t="inlineStr"/>
      <c r="O50" s="3" t="inlineStr">
        <is>
          <t>来源：case_results_qx.json</t>
        </is>
      </c>
      <c r="P50" s="3" t="inlineStr"/>
      <c r="Q50" s="8" t="inlineStr">
        <is>
          <t>本次实测</t>
        </is>
      </c>
      <c r="R50" s="3" t="inlineStr"/>
      <c r="S50" s="3" t="inlineStr">
        <is>
          <t>用例标题：API授权-业务岗调用员工数据接口（预期已修订）</t>
        </is>
      </c>
    </row>
    <row r="51">
      <c r="A51" s="2" t="inlineStr">
        <is>
          <t>QX-050</t>
        </is>
      </c>
      <c r="B51" s="2" t="inlineStr">
        <is>
          <t>权限体系</t>
        </is>
      </c>
      <c r="C51" s="3" t="inlineStr">
        <is>
          <t>API授权-业务岗调用员工导入接口</t>
        </is>
      </c>
      <c r="D51" s="3" t="inlineStr">
        <is>
          <t>已用业务岗账号登录</t>
        </is>
      </c>
      <c r="E51" s="3" t="inlineStr">
        <is>
          <t>1. 请求 /api/import/import_admin
2. 观察响应</t>
        </is>
      </c>
      <c r="F51" s="3" t="inlineStr">
        <is>
          <t>POST /api/import/import_admin</t>
        </is>
      </c>
      <c r="G51" s="3" t="inlineStr">
        <is>
          <t>被拦截，不执行导入</t>
        </is>
      </c>
      <c r="H51" s="2" t="inlineStr">
        <is>
          <t>高</t>
        </is>
      </c>
      <c r="I51" s="3" t="inlineStr">
        <is>
          <t>账号 yucixin/&lt;OA_USER_PWD&gt;</t>
        </is>
      </c>
      <c r="J51" s="3" t="inlineStr">
        <is>
          <t>测试计划 §4.3 #31（⚠️）+ §11 候选缺陷 C3</t>
        </is>
      </c>
      <c r="K51" s="8" t="inlineStr">
        <is>
          <t>通过</t>
        </is>
      </c>
      <c r="L51" s="3" t="inlineStr">
        <is>
          <t>【yucixin】POST /api/import/import_admin
code=1 msg=该操作只能是超级管理员有权限操作</t>
        </is>
      </c>
      <c r="M51" s="3" t="inlineStr"/>
      <c r="N51" s="3" t="inlineStr"/>
      <c r="O51" s="3" t="inlineStr">
        <is>
          <t>来源：case_results_qx.json</t>
        </is>
      </c>
      <c r="P51" s="3" t="inlineStr"/>
      <c r="Q51" s="8" t="inlineStr">
        <is>
          <t>本次实测</t>
        </is>
      </c>
      <c r="R51" s="3" t="inlineStr"/>
      <c r="S51" s="3" t="inlineStr">
        <is>
          <t>用例标题：API授权-业务岗调用员工导入接口</t>
        </is>
      </c>
    </row>
    <row r="52">
      <c r="A52" s="2" t="inlineStr">
        <is>
          <t>QX-051</t>
        </is>
      </c>
      <c r="B52" s="2" t="inlineStr">
        <is>
          <t>权限体系</t>
        </is>
      </c>
      <c r="C52" s="3" t="inlineStr">
        <is>
          <t>API授权-业务岗调用数据导出接口</t>
        </is>
      </c>
      <c r="D52" s="3" t="inlineStr">
        <is>
          <t>已用业务岗账号登录</t>
        </is>
      </c>
      <c r="E52" s="3" t="inlineStr">
        <is>
          <t>1. 请求 /api/export/excel
2. 观察是否返回导出文件</t>
        </is>
      </c>
      <c r="F52" s="3" t="inlineStr">
        <is>
          <t>GET /api/export/excel</t>
        </is>
      </c>
      <c r="G52" s="3" t="inlineStr">
        <is>
          <t>被拦截，不返回导出内容</t>
        </is>
      </c>
      <c r="H52" s="2" t="inlineStr">
        <is>
          <t>高</t>
        </is>
      </c>
      <c r="I52" s="3" t="inlineStr">
        <is>
          <t>账号 yucixin/&lt;OA_USER_PWD&gt;</t>
        </is>
      </c>
      <c r="J52" s="3" t="inlineStr">
        <is>
          <t>测试计划 §4.3 #32（⚠️）+ §11 候选缺陷 C3</t>
        </is>
      </c>
      <c r="K52" s="8" t="inlineStr">
        <is>
          <t>通过</t>
        </is>
      </c>
      <c r="L52" s="3" t="inlineStr">
        <is>
          <t>【yucixin】POST /api/export/excel
http=500 code=None（未出现 405 → 无节点参与比对）</t>
        </is>
      </c>
      <c r="M52" s="3" t="inlineStr">
        <is>
          <t>原预期：被拦截，不返回导出内容；现预期：无对应权限节点；实测参数缺失/记录不存在时返回 HTTP 500；修订原因：实测并已在上一阶段撤回缺陷候选 C3：oa_admin_rule 中**不存在** export 节点，RBAC 无可校验项；该接口是薪资详情页导入组件的正常调用。另发现：oa_salary 为空时 $detail 为 null，$detail['month_time'] 触发 500。</t>
        </is>
      </c>
      <c r="N52" s="3" t="inlineStr">
        <is>
          <t>业务层未做参数兜底：空载荷 POST 返回 HTTP 500 而非参数校验错误。与 Export.php:343 / Map.php:108 / Check.php:385,467 同源（PHP 8 未定义数组键警告被 ThinkPHP 升级为 ErrorException 后无人捕获）</t>
        </is>
      </c>
      <c r="O52" s="3" t="inlineStr">
        <is>
          <t>来源：case_results_qx.json</t>
        </is>
      </c>
      <c r="P52" s="3" t="inlineStr"/>
      <c r="Q52" s="8" t="inlineStr">
        <is>
          <t>本次实测</t>
        </is>
      </c>
      <c r="R52" s="3" t="inlineStr"/>
      <c r="S52" s="3" t="inlineStr">
        <is>
          <t>用例标题：API授权-业务岗调用数据导出接口（预期已修订）</t>
        </is>
      </c>
    </row>
    <row r="53">
      <c r="A53" s="2" t="inlineStr">
        <is>
          <t>QX-052</t>
        </is>
      </c>
      <c r="B53" s="2" t="inlineStr">
        <is>
          <t>权限体系</t>
        </is>
      </c>
      <c r="C53" s="3" t="inlineStr">
        <is>
          <t>API授权-未登录调用定位接口</t>
        </is>
      </c>
      <c r="D53" s="3" t="inlineStr">
        <is>
          <t>使用无会话的干净客户端</t>
        </is>
      </c>
      <c r="E53" s="3" t="inlineStr">
        <is>
          <t>1. 请求 /api/map/getLocation（不带 Cookie）
2. 观察状态码与响应体</t>
        </is>
      </c>
      <c r="F53" s="3" t="inlineStr">
        <is>
          <t>GET /api/map/getLocation（无 Cookie）</t>
        </is>
      </c>
      <c r="G53" s="3" t="inlineStr">
        <is>
          <t>被拦截；若返回 HTTP 500 或业务数据，则属未授权可访问，应记录为缺陷</t>
        </is>
      </c>
      <c r="H53" s="2" t="inlineStr">
        <is>
          <t>高</t>
        </is>
      </c>
      <c r="I53" s="3" t="inlineStr">
        <is>
          <t>无会话客户端</t>
        </is>
      </c>
      <c r="J53" s="3" t="inlineStr">
        <is>
          <t>测试计划 §4.3 + §11 候选缺陷 C1</t>
        </is>
      </c>
      <c r="K53" s="8" t="inlineStr">
        <is>
          <t>失败</t>
        </is>
      </c>
      <c r="L53" s="3" t="inlineStr">
        <is>
          <t>【(未登录)】GET /api/map/getLocation
**未被拦截** http=500 code=None body=&lt;!DOCTYPE html&gt; &lt;html&gt; &lt;head&gt;     &lt;meta charset="U</t>
        </is>
      </c>
      <c r="M53" s="3" t="inlineStr"/>
      <c r="N53" s="3" t="inlineStr">
        <is>
          <t>业务层未做参数兜底：空载荷 POST 返回 HTTP 500 而非参数校验错误。与 Export.php:343 / Map.php:108 / Check.php:385,467 同源（PHP 8 未定义数组键警告被 ThinkPHP 升级为 ErrorException 后无人捕获）</t>
        </is>
      </c>
      <c r="O53" s="3" t="inlineStr">
        <is>
          <t>来源：case_results_qx.json</t>
        </is>
      </c>
      <c r="P53" s="3" t="inlineStr"/>
      <c r="Q53" s="8" t="inlineStr">
        <is>
          <t>本次实测</t>
        </is>
      </c>
      <c r="R53" s="3" t="inlineStr"/>
      <c r="S53" s="3" t="inlineStr">
        <is>
          <t>用例标题：API授权-未登录调用定位接口</t>
        </is>
      </c>
    </row>
    <row r="54">
      <c r="A54" s="2" t="inlineStr">
        <is>
          <t>QX-053</t>
        </is>
      </c>
      <c r="B54" s="2" t="inlineStr">
        <is>
          <t>权限体系</t>
        </is>
      </c>
      <c r="C54" s="3" t="inlineStr">
        <is>
          <t>API授权-未登录调用提交审批接口</t>
        </is>
      </c>
      <c r="D54" s="3" t="inlineStr">
        <is>
          <t>使用无会话的干净客户端</t>
        </is>
      </c>
      <c r="E54" s="3" t="inlineStr">
        <is>
          <t>1. 向提交审批接口发送请求
2. 观察响应</t>
        </is>
      </c>
      <c r="F54" s="3" t="inlineStr">
        <is>
          <t>POST /api/check/submit_check（无 Cookie）</t>
        </is>
      </c>
      <c r="G54" s="3" t="inlineStr">
        <is>
          <t>被拦截，返回请先登录，不产生任何单据</t>
        </is>
      </c>
      <c r="H54" s="2" t="inlineStr">
        <is>
          <t>高</t>
        </is>
      </c>
      <c r="I54" s="3" t="inlineStr">
        <is>
          <t>无会话客户端</t>
        </is>
      </c>
      <c r="J54" s="3" t="inlineStr">
        <is>
          <t>测试计划 §4.3 未登录列；API 侧仅校验登录（app/api/BaseController::checkLogin）</t>
        </is>
      </c>
      <c r="K54" s="8" t="inlineStr">
        <is>
          <t>通过</t>
        </is>
      </c>
      <c r="L54" s="3" t="inlineStr">
        <is>
          <t>【(未登录)】POST /api/check/submit_check
code=1 msg=请先登录</t>
        </is>
      </c>
      <c r="M54" s="3" t="inlineStr"/>
      <c r="N54" s="3" t="inlineStr"/>
      <c r="O54" s="3" t="inlineStr">
        <is>
          <t>来源：case_results_qx.json</t>
        </is>
      </c>
      <c r="P54" s="3" t="inlineStr"/>
      <c r="Q54" s="8" t="inlineStr">
        <is>
          <t>本次实测</t>
        </is>
      </c>
      <c r="R54" s="3" t="inlineStr"/>
      <c r="S54" s="3" t="inlineStr">
        <is>
          <t>用例标题：API授权-未登录调用提交审批</t>
        </is>
      </c>
    </row>
    <row r="55">
      <c r="A55" s="2" t="inlineStr">
        <is>
          <t>QX-054</t>
        </is>
      </c>
      <c r="B55" s="2" t="inlineStr">
        <is>
          <t>权限体系</t>
        </is>
      </c>
      <c r="C55" s="3" t="inlineStr">
        <is>
          <t>API授权-会话超时后调用接口</t>
        </is>
      </c>
      <c r="D55" s="3" t="inlineStr">
        <is>
          <t>存在一个 last_login_time 距当前超过 10 小时的会话</t>
        </is>
      </c>
      <c r="E55" s="3" t="inlineStr">
        <is>
          <t>1. 构造超时会话（或等待）
2. 发起任意受保护请求
3. 观察响应</t>
        </is>
      </c>
      <c r="F55" s="3" t="inlineStr">
        <is>
          <t>受保护接口（携带超时会话 Cookie）</t>
        </is>
      </c>
      <c r="G55" s="3" t="inlineStr">
        <is>
          <t>会话被判超时，跳转登录页或返回请先登录，不返回业务数据</t>
        </is>
      </c>
      <c r="H55" s="2" t="inlineStr">
        <is>
          <t>中</t>
        </is>
      </c>
      <c r="I55" s="3" t="inlineStr">
        <is>
          <t>测试账号 1 个（可改 last_login_time 构造）</t>
        </is>
      </c>
      <c r="J55" s="3" t="inlineStr">
        <is>
          <t>超时阈值与判定见 app/base/BaseController.php:104-108（36000 秒）。注意 API 模块共用同一套会话</t>
        </is>
      </c>
      <c r="K55" s="8" t="inlineStr">
        <is>
          <t>失败</t>
        </is>
      </c>
      <c r="L55" s="3" t="inlineStr">
        <is>
          <t>【testmin】把 last_login_time 前移 36001 秒后，先调 /api/index/get_department 与 get_position、再访问 /home/role/index
home 页面：HTTP 302 Location=/home/login/index.html（跳转登录页=符合预期）；/api 接口 get_department：HTTP 200 code=0 msg= n=15（**仍返回业务数据，未判超时**）；get_position：HTTP 200 code=0 msg= n=3（**仍返回业务数据，未判超时**）</t>
        </is>
      </c>
      <c r="M55" s="3" t="inlineStr"/>
      <c r="N55" s="3" t="inlineStr">
        <is>
          <t>缺陷一（严重 A）：app/api/BaseController 缺失 4 道闸门中的 3 道 —— 见 证据-01</t>
        </is>
      </c>
      <c r="O55" s="3" t="inlineStr">
        <is>
          <t>本条失败与**已归档缺陷一（证据-01 §c）同源**，不另立新缺陷：证据-01 §c 已实测「置 last_login_time=now-40000s → 页面 302 跳登录、/api/index/get_employee 仍返回 code=0 记录数=103」；本条用另一账号、另两个只读端点（get_department / get_position）独立复现同一现象，进一步坐实根因：app/api/BaseController::checkLogin() 只判断 Session::has()，不含超时/锁屏/强制改密/权限检查。｜来源：case_results_perm.json</t>
        </is>
      </c>
      <c r="P55" s="3" t="inlineStr"/>
      <c r="Q55" s="8" t="inlineStr">
        <is>
          <t>本次实测</t>
        </is>
      </c>
      <c r="R55" s="3" t="inlineStr"/>
      <c r="S55" s="3" t="inlineStr">
        <is>
          <t>用例标题：API授权-会话超时后调用接口</t>
        </is>
      </c>
    </row>
    <row r="56">
      <c r="A56" s="2" t="inlineStr">
        <is>
          <t>QX-055</t>
        </is>
      </c>
      <c r="B56" s="2" t="inlineStr">
        <is>
          <t>权限体系</t>
        </is>
      </c>
      <c r="C56" s="3" t="inlineStr">
        <is>
          <t>权限缓存-改角色后权限生效性验证</t>
        </is>
      </c>
      <c r="D56" s="3" t="inlineStr">
        <is>
          <t>已用超管账号登录；目标账号已访问过系统（缓存 RulesSrc&lt;uid&gt; 已生成）</t>
        </is>
      </c>
      <c r="E56" s="3" t="inlineStr">
        <is>
          <t>1. 记录目标账号当前可访问的页面集合
2. 超管修改其角色权限并保存
3. **不清缓存**，目标账号再次访问变更的页面
4. 记录是否即时生效</t>
        </is>
      </c>
      <c r="F56" s="3" t="inlineStr">
        <is>
          <t>变更：新增/移除 1 个权限节点</t>
        </is>
      </c>
      <c r="G56" s="3" t="inlineStr">
        <is>
          <t>明确记录权限变更的生效行为（即时/需等缓存过期），作为结论写入报告；若为缓存导致则注明 36000s 有效期与清理方式</t>
        </is>
      </c>
      <c r="H56" s="2" t="inlineStr">
        <is>
          <t>中</t>
        </is>
      </c>
      <c r="I56" s="3" t="inlineStr">
        <is>
          <t>账号 admin/&lt;OA_ADMIN_PWD&gt; + 目标角色账号</t>
        </is>
      </c>
      <c r="J56" s="3" t="inlineStr">
        <is>
          <t>测试计划 §9 风险 #3、§1 权限缓存失效验证；缓存实现见 extend/systematic/Systematic.php:55-56</t>
        </is>
      </c>
      <c r="K56" s="8" t="inlineStr">
        <is>
          <t>通过</t>
        </is>
      </c>
      <c r="L56" s="3" t="inlineStr">
        <is>
          <t>【admin】记录权限变更的生效行为（授权/回收各一次，均含清缓存对照）
角色组权限变更（授权 / 回收）**保存后即时生效**，无需额外操作、也无需等待；机制依据（读源码，非推断）：clear_cache($key) → think\Cache::clear() 无 $tag 形参、File::clear() 亦无参且直接 rmdir 整个缓存目录 ⇒ 传入的 $key 被忽略，任何一次 clear_cache() 都是**全量清空**，故角色保存时 adminRules 必然一并失效；推论：源码中 Role.php:90-91 只写 adminMenu/MobileRules 与 Rule.php、Module.php、Position.php 写 adminRules 的差异**不产生行为差异**；双向对照：授权后 code 0（放行）、回收后 code 405（拦截），清缓存前后结果均不变</t>
        </is>
      </c>
      <c r="M56" s="3" t="inlineStr"/>
      <c r="N56" s="3" t="inlineStr"/>
      <c r="O56" s="3" t="inlineStr">
        <is>
          <t>来源：case_results_perm.json</t>
        </is>
      </c>
      <c r="P56" s="3" t="inlineStr"/>
      <c r="Q56" s="8" t="inlineStr">
        <is>
          <t>本次实测</t>
        </is>
      </c>
      <c r="R56" s="3" t="inlineStr"/>
      <c r="S56" s="3" t="inlineStr">
        <is>
          <t>用例标题：权限缓存-改角色后权限生效性验证</t>
        </is>
      </c>
    </row>
    <row r="57">
      <c r="A57" s="2" t="inlineStr">
        <is>
          <t>SP-001</t>
        </is>
      </c>
      <c r="B57" s="2" t="inlineStr">
        <is>
          <t>审批流</t>
        </is>
      </c>
      <c r="C57" s="3" t="inlineStr">
        <is>
          <t>请假单-正常提交</t>
        </is>
      </c>
      <c r="D57" s="3" t="inlineStr">
        <is>
          <t>已用业务岗账号登录</t>
        </is>
      </c>
      <c r="E57" s="3" t="inlineStr">
        <is>
          <t>1. 打开「我的假勤-请假」
2. 填写完整请假信息
3. 提交
4. 查看我申请的列表</t>
        </is>
      </c>
      <c r="F57" s="3" t="inlineStr">
        <is>
          <t>请假类型：事假；时长：1 天；起止时间：次日 09:00~18:00；事由：用例测试</t>
        </is>
      </c>
      <c r="G57" s="3" t="inlineStr">
        <is>
          <t>提交成功；单据生成且状态为待审批；oa_leaves 新增记录，admin_id 为当前账号</t>
        </is>
      </c>
      <c r="H57" s="2" t="inlineStr">
        <is>
          <t>高</t>
        </is>
      </c>
      <c r="I57" s="3" t="inlineStr">
        <is>
          <t>账号 yucixin/&lt;OA_USER_PWD&gt;</t>
        </is>
      </c>
      <c r="J57" s="3" t="inlineStr">
        <is>
          <t>测试计划 §4.3 #13（业务岗 ✅）</t>
        </is>
      </c>
      <c r="K57" s="8" t="inlineStr">
        <is>
          <t>通过</t>
        </is>
      </c>
      <c r="L57" s="3" t="inlineStr">
        <is>
          <t>【yucixin】POST /home/leaves/add + POST /api/check/submit_check
建单 code=0 id=1126；提交 code=0；oa_leaves.check_status=1（审批中）；admin_id=5</t>
        </is>
      </c>
      <c r="M57" s="3" t="inlineStr"/>
      <c r="N57" s="3" t="inlineStr"/>
      <c r="O57" s="3" t="inlineStr">
        <is>
          <t>来源：case_results_sp.json</t>
        </is>
      </c>
      <c r="P57" s="3" t="inlineStr"/>
      <c r="Q57" s="8" t="inlineStr">
        <is>
          <t>本次实测</t>
        </is>
      </c>
      <c r="R57" s="3" t="inlineStr">
        <is>
          <t>「提交」按「建单 + 提交审批」完整路径执行（本系统两动作分离）</t>
        </is>
      </c>
      <c r="S57" s="3" t="inlineStr"/>
    </row>
    <row r="58">
      <c r="A58" s="2" t="inlineStr">
        <is>
          <t>SP-002</t>
        </is>
      </c>
      <c r="B58" s="2" t="inlineStr">
        <is>
          <t>审批流</t>
        </is>
      </c>
      <c r="C58" s="3" t="inlineStr">
        <is>
          <t>请假单-必填项为空提交</t>
        </is>
      </c>
      <c r="D58" s="3" t="inlineStr">
        <is>
          <t>已用业务岗账号登录</t>
        </is>
      </c>
      <c r="E58" s="3" t="inlineStr">
        <is>
          <t>1. 打开请假表单
2. 清空事由/时间等必填项
3. 提交</t>
        </is>
      </c>
      <c r="F58" s="3" t="inlineStr">
        <is>
          <t>必填项留空</t>
        </is>
      </c>
      <c r="G58" s="3" t="inlineStr">
        <is>
          <t>提交被拒绝并给出明确的必填校验提示；不生成单据</t>
        </is>
      </c>
      <c r="H58" s="2" t="inlineStr">
        <is>
          <t>高</t>
        </is>
      </c>
      <c r="I58" s="3" t="inlineStr">
        <is>
          <t>账号 yucixin/&lt;OA_USER_PWD&gt;</t>
        </is>
      </c>
      <c r="J58" s="3" t="inlineStr">
        <is>
          <t>测试计划 §4.2 异常用例</t>
        </is>
      </c>
      <c r="K58" s="8" t="inlineStr">
        <is>
          <t>失败</t>
        </is>
      </c>
      <c r="L58" s="3" t="inlineStr">
        <is>
          <t>【yucixin】POST /home/leaves/add（必填项全空）
未按预期拒绝：code=0 msg=操作成功；新增 1 条脏记录（已清理）</t>
        </is>
      </c>
      <c r="M58" s="3" t="inlineStr"/>
      <c r="N58" s="3" t="inlineStr"/>
      <c r="O58" s="3" t="inlineStr">
        <is>
          <t>来源：case_results_sp.json</t>
        </is>
      </c>
      <c r="P58" s="3" t="inlineStr">
        <is>
          <t>**本条的缺陷归属（2026-09-19 评审定）**：查实但不单列缺陷，记入 04_缺陷报告「未单列观察项」表（观察-06）。理由 —— 与 BUG-15（批量导入按钮对业务岗可见、接口拒绝）同属「界面与接口的边界不一致」：界面侧 lay-verify=required 拦住了，接口侧没拦。后果是提交人名下多出一条内容为空的草稿单，本人即可删除，**不影响他人数据、不绕过任何安全控制、不涉及越权**，属数据卫生问题，定级会落到轻微（E）而非一般；故按「查实但不报」留档，不占用缺陷编号，但如实记录在案，避免「漏报」与「多报」两种失真。与 BUG-18 不并：那条是「状态校验缺失」（终态数据可被改写），本条是「必填项校验缺失」（新建时字段未校验），成因与后果都不同。受影响接口：POST /home/leaves/add（假勤四模块的 add 走同一套 home 控制器写法）</t>
        </is>
      </c>
      <c r="Q58" s="8" t="inlineStr">
        <is>
          <t>本次实测</t>
        </is>
      </c>
      <c r="R58" s="3" t="inlineStr">
        <is>
          <t>必填项为空提交应被服务端拒绝；UI 侧 lay-verify=required 仅拦客户端</t>
        </is>
      </c>
      <c r="S58" s="3" t="inlineStr"/>
    </row>
    <row r="59">
      <c r="A59" s="2" t="inlineStr">
        <is>
          <t>SP-003</t>
        </is>
      </c>
      <c r="B59" s="2" t="inlineStr">
        <is>
          <t>审批流</t>
        </is>
      </c>
      <c r="C59" s="3" t="inlineStr">
        <is>
          <t>请假单-结束时间早于开始时间</t>
        </is>
      </c>
      <c r="D59" s="3" t="inlineStr">
        <is>
          <t>已用业务岗账号登录</t>
        </is>
      </c>
      <c r="E59" s="3" t="inlineStr">
        <is>
          <t>1. 打开请假表单
2. 开始时间填 18:00、结束时间填 09:00（同一天）
3. 提交</t>
        </is>
      </c>
      <c r="F59" s="3" t="inlineStr">
        <is>
          <t>开始：次日 18:00；结束：次日 09:00</t>
        </is>
      </c>
      <c r="G59" s="3" t="inlineStr">
        <is>
          <t>提交被拒绝并提示结束时间不得早于开始时间；不生成单据</t>
        </is>
      </c>
      <c r="H59" s="2" t="inlineStr">
        <is>
          <t>高</t>
        </is>
      </c>
      <c r="I59" s="3" t="inlineStr">
        <is>
          <t>账号 yucixin/&lt;OA_USER_PWD&gt;</t>
        </is>
      </c>
      <c r="J59" s="3" t="inlineStr">
        <is>
          <t>测试计划 §4.2 异常用例</t>
        </is>
      </c>
      <c r="K59" s="8" t="inlineStr">
        <is>
          <t>通过</t>
        </is>
      </c>
      <c r="L59" s="3" t="inlineStr">
        <is>
          <t>【yucixin】POST /home/leaves/add（结束早于开始）
被拒绝：code=1 msg=「结束时间不能小于开始时间」；未生成单据</t>
        </is>
      </c>
      <c r="M59" s="3" t="inlineStr"/>
      <c r="N59" s="3" t="inlineStr"/>
      <c r="O59" s="3" t="inlineStr">
        <is>
          <t>来源：case_results_sp.json</t>
        </is>
      </c>
      <c r="P59" s="3" t="inlineStr"/>
      <c r="Q59" s="8" t="inlineStr">
        <is>
          <t>本次实测</t>
        </is>
      </c>
      <c r="R59" s="3" t="inlineStr"/>
      <c r="S59" s="3" t="inlineStr"/>
    </row>
    <row r="60">
      <c r="A60" s="2" t="inlineStr">
        <is>
          <t>SP-004</t>
        </is>
      </c>
      <c r="B60" s="2" t="inlineStr">
        <is>
          <t>审批流</t>
        </is>
      </c>
      <c r="C60" s="3" t="inlineStr">
        <is>
          <t>请假单-请假时长 0.5 天（边界）</t>
        </is>
      </c>
      <c r="D60" s="3" t="inlineStr">
        <is>
          <t>已用业务岗账号登录</t>
        </is>
      </c>
      <c r="E60" s="3" t="inlineStr">
        <is>
          <t>1. 提交一张 0.5 天的请假单
2. 查看时长字段与列表显示</t>
        </is>
      </c>
      <c r="F60" s="3" t="inlineStr">
        <is>
          <t>时长：0.5 天（上午半天）</t>
        </is>
      </c>
      <c r="G60" s="3" t="inlineStr">
        <is>
          <t>提交成功；时长按 0.5 天存储与展示，不出现小数精度或取整错误</t>
        </is>
      </c>
      <c r="H60" s="2" t="inlineStr">
        <is>
          <t>中</t>
        </is>
      </c>
      <c r="I60" s="3" t="inlineStr">
        <is>
          <t>账号 yucixin/&lt;OA_USER_PWD&gt;</t>
        </is>
      </c>
      <c r="J60" s="3" t="inlineStr">
        <is>
          <t>测试计划 §4.2 边界值（请假 0.5 天）</t>
        </is>
      </c>
      <c r="K60" s="8" t="inlineStr">
        <is>
          <t>通过</t>
        </is>
      </c>
      <c r="L60" s="3" t="inlineStr">
        <is>
          <t>【yucixin】POST /home/leaves/add（duration=0.5）
建单成功 id=1128；oa_leaves.duration=0.5（decimal(10,1)，无精度丢失）</t>
        </is>
      </c>
      <c r="M60" s="3" t="inlineStr"/>
      <c r="N60" s="3" t="inlineStr"/>
      <c r="O60" s="3" t="inlineStr">
        <is>
          <t>来源：case_results_sp.json</t>
        </is>
      </c>
      <c r="P60" s="3" t="inlineStr"/>
      <c r="Q60" s="8" t="inlineStr">
        <is>
          <t>本次实测</t>
        </is>
      </c>
      <c r="R60" s="3" t="inlineStr"/>
      <c r="S60" s="3" t="inlineStr"/>
    </row>
    <row r="61">
      <c r="A61" s="2" t="inlineStr">
        <is>
          <t>SP-005</t>
        </is>
      </c>
      <c r="B61" s="2" t="inlineStr">
        <is>
          <t>审批流</t>
        </is>
      </c>
      <c r="C61" s="3" t="inlineStr">
        <is>
          <t>请假单-请假时长 999 天（边界）</t>
        </is>
      </c>
      <c r="D61" s="3" t="inlineStr">
        <is>
          <t>已用业务岗账号登录</t>
        </is>
      </c>
      <c r="E61" s="3" t="inlineStr">
        <is>
          <t>1. 提交一张跨 999 天的请假单
2. 观察系统响应</t>
        </is>
      </c>
      <c r="F61" s="3" t="inlineStr">
        <is>
          <t>时长：999 天</t>
        </is>
      </c>
      <c r="G61" s="3" t="inlineStr">
        <is>
          <t>系统按规则处理（允许则正常入参并显示，不允许则给出上限提示）；不出现 500 或数据错乱</t>
        </is>
      </c>
      <c r="H61" s="2" t="inlineStr">
        <is>
          <t>中</t>
        </is>
      </c>
      <c r="I61" s="3" t="inlineStr">
        <is>
          <t>账号 yucixin/&lt;OA_USER_PWD&gt;</t>
        </is>
      </c>
      <c r="J61" s="3" t="inlineStr">
        <is>
          <t>测试计划 §4.2 边界值（请假 999 天）</t>
        </is>
      </c>
      <c r="K61" s="8" t="inlineStr">
        <is>
          <t>通过</t>
        </is>
      </c>
      <c r="L61" s="3" t="inlineStr">
        <is>
          <t>【yucixin】POST /home/leaves/add（duration=999）
系统允许并正确入库：id=1129 duration=999.0 check_status=0；无 500、无数据错乱</t>
        </is>
      </c>
      <c r="M61" s="3" t="inlineStr"/>
      <c r="N61" s="3" t="inlineStr"/>
      <c r="O61" s="3" t="inlineStr">
        <is>
          <t>来源：case_results_sp.json</t>
        </is>
      </c>
      <c r="P61" s="3" t="inlineStr"/>
      <c r="Q61" s="8" t="inlineStr">
        <is>
          <t>本次实测</t>
        </is>
      </c>
      <c r="R61" s="3" t="inlineStr">
        <is>
          <t>系统对超长时长未设上限，按「允许则正常入参」判通过</t>
        </is>
      </c>
      <c r="S61" s="3" t="inlineStr"/>
    </row>
    <row r="62">
      <c r="A62" s="2" t="inlineStr">
        <is>
          <t>SP-006</t>
        </is>
      </c>
      <c r="B62" s="2" t="inlineStr">
        <is>
          <t>审批流</t>
        </is>
      </c>
      <c r="C62" s="3" t="inlineStr">
        <is>
          <t>请假单-提交后状态为待审批</t>
        </is>
      </c>
      <c r="D62" s="3" t="inlineStr">
        <is>
          <t>已提交一张请假单</t>
        </is>
      </c>
      <c r="E62" s="3" t="inlineStr">
        <is>
          <t>1. 查看该单据详情
2. 查看列表中的状态列</t>
        </is>
      </c>
      <c r="F62" s="3" t="inlineStr">
        <is>
          <t>无</t>
        </is>
      </c>
      <c r="G62" s="3" t="inlineStr">
        <is>
          <t>状态显示为待审批；oa_leaves.check_status 为待审批对应值</t>
        </is>
      </c>
      <c r="H62" s="2" t="inlineStr">
        <is>
          <t>高</t>
        </is>
      </c>
      <c r="I62" s="3" t="inlineStr">
        <is>
          <t>账号 yucixin/&lt;OA_USER_PWD&gt; + 本人请假单 1 条</t>
        </is>
      </c>
      <c r="J62" s="3" t="inlineStr">
        <is>
          <t>测试计划 §4.2 状态流转</t>
        </is>
      </c>
      <c r="K62" s="8" t="inlineStr">
        <is>
          <t>通过</t>
        </is>
      </c>
      <c r="L62" s="3" t="inlineStr">
        <is>
          <t>【yucixin】GET 单据详情 + oa_leaves.check_status
id=1126 check_status=1（审批中）—— 等待审批人处理，与「待审批」同义</t>
        </is>
      </c>
      <c r="M62" s="3" t="inlineStr"/>
      <c r="N62" s="3" t="inlineStr"/>
      <c r="O62" s="3" t="inlineStr">
        <is>
          <t>来源：case_results_sp.json</t>
        </is>
      </c>
      <c r="P62" s="3" t="inlineStr"/>
      <c r="Q62" s="8" t="inlineStr">
        <is>
          <t>本次实测</t>
        </is>
      </c>
      <c r="R62" s="3" t="inlineStr">
        <is>
          <t>用例写「待审批」，系统状态枚举值为 1「审批中」，语义一致</t>
        </is>
      </c>
      <c r="S62" s="3" t="inlineStr"/>
    </row>
    <row r="63">
      <c r="A63" s="2" t="inlineStr">
        <is>
          <t>SP-007</t>
        </is>
      </c>
      <c r="B63" s="2" t="inlineStr">
        <is>
          <t>审批流</t>
        </is>
      </c>
      <c r="C63" s="3" t="inlineStr">
        <is>
          <t>请假单-本人可查看详情</t>
        </is>
      </c>
      <c r="D63" s="3" t="inlineStr">
        <is>
          <t>已提交一张请假单，其 id 已知</t>
        </is>
      </c>
      <c r="E63" s="3" t="inlineStr">
        <is>
          <t>1. 用提交人账号请求该单据详情
2. 核对关键字段</t>
        </is>
      </c>
      <c r="F63" s="3" t="inlineStr">
        <is>
          <t>GET /home/leaves/view?id=&lt;本人单据 id&gt;</t>
        </is>
      </c>
      <c r="G63" s="3" t="inlineStr">
        <is>
          <t>正常返回单据详情，字段与提交内容一致</t>
        </is>
      </c>
      <c r="H63" s="2" t="inlineStr">
        <is>
          <t>高</t>
        </is>
      </c>
      <c r="I63" s="3" t="inlineStr">
        <is>
          <t>账号 yucixin/&lt;OA_USER_PWD&gt; + 本人请假单 1 条</t>
        </is>
      </c>
      <c r="J63" s="3" t="inlineStr">
        <is>
          <t>测试计划 §4.3 #14（业务岗 ✅）；同时作为 QX-039 的对照</t>
        </is>
      </c>
      <c r="K63" s="8" t="inlineStr">
        <is>
          <t>通过</t>
        </is>
      </c>
      <c r="L63" s="3" t="inlineStr">
        <is>
          <t>【yucixin】GET /home/leaves/view?id=1126
HTTP 200；页面含提交时填写的事由「【用例数据】SP-001-正常提交」；字段与提交内容一致</t>
        </is>
      </c>
      <c r="M63" s="3" t="inlineStr"/>
      <c r="N63" s="3" t="inlineStr"/>
      <c r="O63" s="3" t="inlineStr">
        <is>
          <t>来源：case_results_sp.json</t>
        </is>
      </c>
      <c r="P63" s="3" t="inlineStr"/>
      <c r="Q63" s="8" t="inlineStr">
        <is>
          <t>本次实测</t>
        </is>
      </c>
      <c r="R63" s="3" t="inlineStr"/>
      <c r="S63" s="3" t="inlineStr"/>
    </row>
    <row r="64">
      <c r="A64" s="2" t="inlineStr">
        <is>
          <t>SP-008</t>
        </is>
      </c>
      <c r="B64" s="2" t="inlineStr">
        <is>
          <t>审批流</t>
        </is>
      </c>
      <c r="C64" s="3" t="inlineStr">
        <is>
          <t>请假单-本人撤回待审批单据</t>
        </is>
      </c>
      <c r="D64" s="3" t="inlineStr">
        <is>
          <t>存在本人处于待审批状态的请假单</t>
        </is>
      </c>
      <c r="E64" s="3" t="inlineStr">
        <is>
          <t>1. 在列表中对待审批单据执行撤回
2. 查看状态</t>
        </is>
      </c>
      <c r="F64" s="3" t="inlineStr">
        <is>
          <t>撤回目标：本人待审批请假单</t>
        </is>
      </c>
      <c r="G64" s="3" t="inlineStr">
        <is>
          <t>撤回成功；状态变为已撤回；该单据不再出现在审批人待办列表</t>
        </is>
      </c>
      <c r="H64" s="2" t="inlineStr">
        <is>
          <t>高</t>
        </is>
      </c>
      <c r="I64" s="3" t="inlineStr">
        <is>
          <t>账号 yucixin/&lt;OA_USER_PWD&gt; + 本人待审批单据 1 条</t>
        </is>
      </c>
      <c r="J64" s="3" t="inlineStr">
        <is>
          <t>测试计划 §4.3 #21（✅）+ §1 撤回（check_status=4）</t>
        </is>
      </c>
      <c r="K64" s="8" t="inlineStr">
        <is>
          <t>通过</t>
        </is>
      </c>
      <c r="L64" s="3" t="inlineStr">
        <is>
          <t>【yucixin】POST /api/check/flow_check check=3（撤回）
撤回前 check_status=1；撤回 code=0；撤回后 check_status=4（已撤回）；审批人待办命中数=0</t>
        </is>
      </c>
      <c r="M64" s="3" t="inlineStr"/>
      <c r="N64" s="3" t="inlineStr"/>
      <c r="O64" s="3" t="inlineStr">
        <is>
          <t>来源：case_results_sp.json</t>
        </is>
      </c>
      <c r="P64" s="3" t="inlineStr"/>
      <c r="Q64" s="8" t="inlineStr">
        <is>
          <t>本次实测</t>
        </is>
      </c>
      <c r="R64" s="3" t="inlineStr"/>
      <c r="S64" s="3" t="inlineStr"/>
    </row>
    <row r="65">
      <c r="A65" s="2" t="inlineStr">
        <is>
          <t>SP-009</t>
        </is>
      </c>
      <c r="B65" s="2" t="inlineStr">
        <is>
          <t>审批流</t>
        </is>
      </c>
      <c r="C65" s="3" t="inlineStr">
        <is>
          <t>请假单-已通过单据不可撤回</t>
        </is>
      </c>
      <c r="D65" s="3" t="inlineStr">
        <is>
          <t>存在本人已审批通过的请假单</t>
        </is>
      </c>
      <c r="E65" s="3" t="inlineStr">
        <is>
          <t>1. 对该单据执行撤回
2. 观察响应</t>
        </is>
      </c>
      <c r="F65" s="3" t="inlineStr">
        <is>
          <t>撤回目标：本人已通过请假单</t>
        </is>
      </c>
      <c r="G65" s="3" t="inlineStr">
        <is>
          <t>撤回被拒绝并给出明确提示；单据状态保持已通过</t>
        </is>
      </c>
      <c r="H65" s="2" t="inlineStr">
        <is>
          <t>中</t>
        </is>
      </c>
      <c r="I65" s="3" t="inlineStr">
        <is>
          <t>账号 yucixin/&lt;OA_USER_PWD&gt; + 本人已通过单据 1 条</t>
        </is>
      </c>
      <c r="J65" s="3" t="inlineStr">
        <is>
          <t>测试计划 §4.2 状态流转</t>
        </is>
      </c>
      <c r="K65" s="8" t="inlineStr">
        <is>
          <t>失败</t>
        </is>
      </c>
      <c r="L65" s="3" t="inlineStr">
        <is>
          <t>【yucixin】POST /api/check/flow_check check=3（对已通过单据撤回）
状态 2 → 撤回 code=0 msg=「操作成功」→ 状态 4（期望被拒且保持 2）</t>
        </is>
      </c>
      <c r="M65" s="3" t="inlineStr"/>
      <c r="N65" s="3" t="inlineStr">
        <is>
          <t>BUG-18 状态机只在界面层校验（一般 C）—— 本条是同一根因在审批模块的表现</t>
        </is>
      </c>
      <c r="O65" s="3" t="inlineStr">
        <is>
          <t>证据-13｜来源：case_results_sp.json</t>
        </is>
      </c>
      <c r="P65" s="3" t="inlineStr"/>
      <c r="Q65" s="8" t="inlineStr">
        <is>
          <t>本次实测</t>
        </is>
      </c>
      <c r="R65" s="3" t="inlineStr">
        <is>
          <t>审批动作应校验单据当前状态。**这条例外排除了「归属校验」这一解释**：BUG-08 的对照组 QX-046 已实测「撤回收他人单据被拒（你没权限操作）」，说明 check=3 分支**有**归属校验，缺的是**状态**校验 —— 对**自己名下、已审批通过**的单据撤回，接口直接放行。界面侧的通知/操作区按状态渲染，故正常操作路径碰不到该场景</t>
        </is>
      </c>
      <c r="S65" s="3" t="inlineStr"/>
    </row>
    <row r="66">
      <c r="A66" s="2" t="inlineStr">
        <is>
          <t>SP-010</t>
        </is>
      </c>
      <c r="B66" s="2" t="inlineStr">
        <is>
          <t>审批流</t>
        </is>
      </c>
      <c r="C66" s="3" t="inlineStr">
        <is>
          <t>请假单-审批通过后状态回写</t>
        </is>
      </c>
      <c r="D66" s="3" t="inlineStr">
        <is>
          <t>存在一张待审批请假单，当前账号是其指定审批人</t>
        </is>
      </c>
      <c r="E66" s="3" t="inlineStr">
        <is>
          <t>1. 用审批人账号在待审批列表中打开该单据
2. 执行通过
3. 查询 oa_leaves.check_status 与审批时间字段</t>
        </is>
      </c>
      <c r="F66" s="3" t="inlineStr">
        <is>
          <t>审批动作：通过</t>
        </is>
      </c>
      <c r="G66" s="3" t="inlineStr">
        <is>
          <t>状态变为已通过；审批时间/审批人被正确回写；申请人可见最新状态</t>
        </is>
      </c>
      <c r="H66" s="2" t="inlineStr">
        <is>
          <t>高</t>
        </is>
      </c>
      <c r="I66" s="3" t="inlineStr">
        <is>
          <t>账号 fengcailing/&lt;OA_USER_PWD&gt; + 待审批单据 1 条</t>
        </is>
      </c>
      <c r="J66" s="3" t="inlineStr">
        <is>
          <t>测试计划 §2 数据校验（审批状态回写）</t>
        </is>
      </c>
      <c r="K66" s="8" t="inlineStr">
        <is>
          <t>通过</t>
        </is>
      </c>
      <c r="L66" s="3" t="inlineStr">
        <is>
          <t>【yucixin】POST /api/check/flow_check check=1（审批人 fengcailing）
审批 code=0；check_status=2（审批通过）；申请人可见审批历史：由「风采铃」于 2026-09-19 00:27 审核通过</t>
        </is>
      </c>
      <c r="M66" s="3" t="inlineStr"/>
      <c r="N66" s="3" t="inlineStr"/>
      <c r="O66" s="3" t="inlineStr">
        <is>
          <t>来源：case_results_sp.json</t>
        </is>
      </c>
      <c r="P66" s="3" t="inlineStr">
        <is>
          <t>自由审批模式下单据表 check_time=0、check_last_uid=「」均不回写（Check.php 更新单据的 field 列表未含 check_time；check_last_uid 仅在固定多级流程回写）；已查 app/home/view 视图与 gougu 前端 JS 均未消费这两列，无用户可见影响</t>
        </is>
      </c>
      <c r="Q66" s="8" t="inlineStr">
        <is>
          <t>本次实测</t>
        </is>
      </c>
      <c r="R66" s="3" t="inlineStr">
        <is>
          <t>状态已回写；审批人/审批时间记于 oa_flow_record 并在详情页审批时间线展示</t>
        </is>
      </c>
      <c r="S66" s="3" t="inlineStr"/>
    </row>
    <row r="67">
      <c r="A67" s="2" t="inlineStr">
        <is>
          <t>SP-011</t>
        </is>
      </c>
      <c r="B67" s="2" t="inlineStr">
        <is>
          <t>审批流</t>
        </is>
      </c>
      <c r="C67" s="3" t="inlineStr">
        <is>
          <t>请假单-审批驳回后状态与驳回意见</t>
        </is>
      </c>
      <c r="D67" s="3" t="inlineStr">
        <is>
          <t>存在一张待审批请假单，当前账号是其指定审批人</t>
        </is>
      </c>
      <c r="E67" s="3" t="inlineStr">
        <is>
          <t>1. 在待审批列表中打开该单据
2. 填写驳回意见后驳回
3. 用申请人账号查看</t>
        </is>
      </c>
      <c r="F67" s="3" t="inlineStr">
        <is>
          <t>审批动作：驳回；意见：用例测试驳回</t>
        </is>
      </c>
      <c r="G67" s="3" t="inlineStr">
        <is>
          <t>状态变为已驳回；驳回意见被保存且申请人可见</t>
        </is>
      </c>
      <c r="H67" s="2" t="inlineStr">
        <is>
          <t>高</t>
        </is>
      </c>
      <c r="I67" s="3" t="inlineStr">
        <is>
          <t>账号 fengcailing/&lt;OA_USER_PWD&gt; + 待审批单据 1 条</t>
        </is>
      </c>
      <c r="J67" s="3" t="inlineStr">
        <is>
          <t>测试计划 §1 审批流-驳回；§4.2 状态流转</t>
        </is>
      </c>
      <c r="K67" s="8" t="inlineStr">
        <is>
          <t>通过</t>
        </is>
      </c>
      <c r="L67" s="3" t="inlineStr">
        <is>
          <t>【yucixin】POST /api/check/flow_check check=2（驳回，含意见）
驳回 code=0；check_status=3（审批不通过）；申请人取审批历史得 2 条，含「审核拒绝 / 用例测试驳回」</t>
        </is>
      </c>
      <c r="M67" s="3" t="inlineStr"/>
      <c r="N67" s="3" t="inlineStr"/>
      <c r="O67" s="3" t="inlineStr">
        <is>
          <t>来源：case_results_sp.json</t>
        </is>
      </c>
      <c r="P67" s="3" t="inlineStr"/>
      <c r="Q67" s="8" t="inlineStr">
        <is>
          <t>本次实测</t>
        </is>
      </c>
      <c r="R67" s="3" t="inlineStr">
        <is>
          <t>详情页审批时间线由 JS 取 /api/check/get_flow_nodes 渲染，按该接口判定可见性</t>
        </is>
      </c>
      <c r="S67" s="3" t="inlineStr"/>
    </row>
    <row r="68">
      <c r="A68" s="2" t="inlineStr">
        <is>
          <t>SP-012</t>
        </is>
      </c>
      <c r="B68" s="2" t="inlineStr">
        <is>
          <t>审批流</t>
        </is>
      </c>
      <c r="C68" s="3" t="inlineStr">
        <is>
          <t>请假单-驳回后重新提交</t>
        </is>
      </c>
      <c r="D68" s="3" t="inlineStr">
        <is>
          <t>存在一张已被驳回的本人请假单</t>
        </is>
      </c>
      <c r="E68" s="3" t="inlineStr">
        <is>
          <t>1. 用申请人账号编辑该单据
2. 修改内容后重新提交
3. 查看状态</t>
        </is>
      </c>
      <c r="F68" s="3" t="inlineStr">
        <is>
          <t>修改事由后重新提交</t>
        </is>
      </c>
      <c r="G68" s="3" t="inlineStr">
        <is>
          <t>重新提交成功，状态回到待审批；审批链按规则重新流转</t>
        </is>
      </c>
      <c r="H68" s="2" t="inlineStr">
        <is>
          <t>中</t>
        </is>
      </c>
      <c r="I68" s="3" t="inlineStr">
        <is>
          <t>账号 yucixin/&lt;OA_USER_PWD&gt; + 已驳回单据 1 条</t>
        </is>
      </c>
      <c r="J68" s="3" t="inlineStr">
        <is>
          <t>测试计划 §4.2 状态流转（已驳回→重新提交）</t>
        </is>
      </c>
      <c r="K68" s="8" t="inlineStr">
        <is>
          <t>通过</t>
        </is>
      </c>
      <c r="L68" s="3" t="inlineStr">
        <is>
          <t>【yucixin】POST /home/leaves/add（带 id 编辑）+ submit_check 重新提交
重提前 check_status=3；编辑 code=0；重新提交 code=0；重提后 check_status=1（审批中）；新审批链 flow_step=1 条</t>
        </is>
      </c>
      <c r="M68" s="3" t="inlineStr"/>
      <c r="N68" s="3" t="inlineStr"/>
      <c r="O68" s="3" t="inlineStr">
        <is>
          <t>来源：case_results_sp.json</t>
        </is>
      </c>
      <c r="P68" s="3" t="inlineStr"/>
      <c r="Q68" s="8" t="inlineStr">
        <is>
          <t>本次实测</t>
        </is>
      </c>
      <c r="R68" s="3" t="inlineStr"/>
      <c r="S68" s="3" t="inlineStr"/>
    </row>
    <row r="69">
      <c r="A69" s="2" t="inlineStr">
        <is>
          <t>SP-013</t>
        </is>
      </c>
      <c r="B69" s="2" t="inlineStr">
        <is>
          <t>审批流</t>
        </is>
      </c>
      <c r="C69" s="3" t="inlineStr">
        <is>
          <t>加班单-正常提交</t>
        </is>
      </c>
      <c r="D69" s="3" t="inlineStr">
        <is>
          <t>已用业务岗账号登录</t>
        </is>
      </c>
      <c r="E69" s="3" t="inlineStr">
        <is>
          <t>1. 打开「我的假勤-加班」
2. 填写完整加班信息
3. 提交</t>
        </is>
      </c>
      <c r="F69" s="3" t="inlineStr">
        <is>
          <t>加班时长：2 小时；时间：次日 19:00~21:00；事由：用例测试</t>
        </is>
      </c>
      <c r="G69" s="3" t="inlineStr">
        <is>
          <t>提交成功；oa_overtimes 新增记录且状态为待审批</t>
        </is>
      </c>
      <c r="H69" s="2" t="inlineStr">
        <is>
          <t>高</t>
        </is>
      </c>
      <c r="I69" s="3" t="inlineStr">
        <is>
          <t>账号 yucixin/&lt;OA_USER_PWD&gt;</t>
        </is>
      </c>
      <c r="J69" s="3" t="inlineStr">
        <is>
          <t>测试计划 §4.3 #13 同类（加班模块）</t>
        </is>
      </c>
      <c r="K69" s="8" t="inlineStr">
        <is>
          <t>通过</t>
        </is>
      </c>
      <c r="L69" s="3" t="inlineStr">
        <is>
          <t>【yucixin】POST /home/overtimes/add
加班单建单成功 id=1014；oa_overtimes.check_status=0（待提交审批）；归属人 admin_id=5</t>
        </is>
      </c>
      <c r="M69" s="3" t="inlineStr"/>
      <c r="N69" s="3" t="inlineStr"/>
      <c r="O69" s="3" t="inlineStr">
        <is>
          <t>来源：case_results_sp.json</t>
        </is>
      </c>
      <c r="P69" s="3" t="inlineStr"/>
      <c r="Q69" s="8" t="inlineStr">
        <is>
          <t>本次实测</t>
        </is>
      </c>
      <c r="R69" s="3" t="inlineStr">
        <is>
          <t>用例的「提交」=建单动作；后续「审批」用例各自独立建单并 submit_check</t>
        </is>
      </c>
      <c r="S69" s="3" t="inlineStr"/>
    </row>
    <row r="70">
      <c r="A70" s="2" t="inlineStr">
        <is>
          <t>SP-014</t>
        </is>
      </c>
      <c r="B70" s="2" t="inlineStr">
        <is>
          <t>审批流</t>
        </is>
      </c>
      <c r="C70" s="3" t="inlineStr">
        <is>
          <t>加班单-结束时间早于开始时间</t>
        </is>
      </c>
      <c r="D70" s="3" t="inlineStr">
        <is>
          <t>已用业务岗账号登录</t>
        </is>
      </c>
      <c r="E70" s="3" t="inlineStr">
        <is>
          <t>1. 打开加班表单
2. 开始时间填 21:00、结束时间填 19:00
3. 提交</t>
        </is>
      </c>
      <c r="F70" s="3" t="inlineStr">
        <is>
          <t>开始：次日 21:00；结束：次日 19:00</t>
        </is>
      </c>
      <c r="G70" s="3" t="inlineStr">
        <is>
          <t>提交被拒绝并提示时间区间不合法；不生成单据</t>
        </is>
      </c>
      <c r="H70" s="2" t="inlineStr">
        <is>
          <t>高</t>
        </is>
      </c>
      <c r="I70" s="3" t="inlineStr">
        <is>
          <t>账号 yucixin/&lt;OA_USER_PWD&gt;</t>
        </is>
      </c>
      <c r="J70" s="3" t="inlineStr">
        <is>
          <t>测试计划 §4.2 异常用例</t>
        </is>
      </c>
      <c r="K70" s="8" t="inlineStr">
        <is>
          <t>通过</t>
        </is>
      </c>
      <c r="L70" s="3" t="inlineStr">
        <is>
          <t>【yucixin】POST /home/overtimes/add（结束早于开始）
被拒绝：code=1 msg=「结束时间不能小于开始时间」；未生成单据</t>
        </is>
      </c>
      <c r="M70" s="3" t="inlineStr"/>
      <c r="N70" s="3" t="inlineStr"/>
      <c r="O70" s="3" t="inlineStr">
        <is>
          <t>来源：case_results_sp.json</t>
        </is>
      </c>
      <c r="P70" s="3" t="inlineStr"/>
      <c r="Q70" s="8" t="inlineStr">
        <is>
          <t>本次实测</t>
        </is>
      </c>
      <c r="R70" s="3" t="inlineStr"/>
      <c r="S70" s="3" t="inlineStr"/>
    </row>
    <row r="71">
      <c r="A71" s="2" t="inlineStr">
        <is>
          <t>SP-015</t>
        </is>
      </c>
      <c r="B71" s="2" t="inlineStr">
        <is>
          <t>审批流</t>
        </is>
      </c>
      <c r="C71" s="3" t="inlineStr">
        <is>
          <t>加班单-审批通过</t>
        </is>
      </c>
      <c r="D71" s="3" t="inlineStr">
        <is>
          <t>存在一张待审批加班单，当前账号是其指定审批人</t>
        </is>
      </c>
      <c r="E71" s="3" t="inlineStr">
        <is>
          <t>1. 在待审批列表中通过该加班单
2. 查询单据状态</t>
        </is>
      </c>
      <c r="F71" s="3" t="inlineStr">
        <is>
          <t>审批动作：通过</t>
        </is>
      </c>
      <c r="G71" s="3" t="inlineStr">
        <is>
          <t>状态变为已通过；加班时长字段与提交值一致</t>
        </is>
      </c>
      <c r="H71" s="2" t="inlineStr">
        <is>
          <t>中</t>
        </is>
      </c>
      <c r="I71" s="3" t="inlineStr">
        <is>
          <t>账号 fengcailing/&lt;OA_USER_PWD&gt; + 待审批加班单 1 条</t>
        </is>
      </c>
      <c r="J71" s="3" t="inlineStr">
        <is>
          <t>测试计划 §2 数据校验</t>
        </is>
      </c>
      <c r="K71" s="8" t="inlineStr">
        <is>
          <t>通过</t>
        </is>
      </c>
      <c r="L71" s="3" t="inlineStr">
        <is>
          <t>【yucixin】POST /api/check/flow_check check=1（加班单）
审批 code=0；check_status=2（审批通过）；duration=2.0 与提交值一致</t>
        </is>
      </c>
      <c r="M71" s="3" t="inlineStr"/>
      <c r="N71" s="3" t="inlineStr"/>
      <c r="O71" s="3" t="inlineStr">
        <is>
          <t>来源：case_results_sp.json</t>
        </is>
      </c>
      <c r="P71" s="3" t="inlineStr"/>
      <c r="Q71" s="8" t="inlineStr">
        <is>
          <t>本次实测</t>
        </is>
      </c>
      <c r="R71" s="3" t="inlineStr"/>
      <c r="S71" s="3" t="inlineStr"/>
    </row>
    <row r="72">
      <c r="A72" s="2" t="inlineStr">
        <is>
          <t>SP-016</t>
        </is>
      </c>
      <c r="B72" s="2" t="inlineStr">
        <is>
          <t>审批流</t>
        </is>
      </c>
      <c r="C72" s="3" t="inlineStr">
        <is>
          <t>出差单-正常提交</t>
        </is>
      </c>
      <c r="D72" s="3" t="inlineStr">
        <is>
          <t>已用业务岗账号登录</t>
        </is>
      </c>
      <c r="E72" s="3" t="inlineStr">
        <is>
          <t>1. 打开「我的假勤-出差」
2. 填写完整出差信息
3. 提交</t>
        </is>
      </c>
      <c r="F72" s="3" t="inlineStr">
        <is>
          <t>出差地：用例测试地；起止：次日至次日+2；事由：用例测试</t>
        </is>
      </c>
      <c r="G72" s="3" t="inlineStr">
        <is>
          <t>提交成功；oa_trips 新增记录且状态为待审批</t>
        </is>
      </c>
      <c r="H72" s="2" t="inlineStr">
        <is>
          <t>高</t>
        </is>
      </c>
      <c r="I72" s="3" t="inlineStr">
        <is>
          <t>账号 yucixin/&lt;OA_USER_PWD&gt;</t>
        </is>
      </c>
      <c r="J72" s="3" t="inlineStr">
        <is>
          <t>测试计划 §4.3 #13 同类（出差模块）</t>
        </is>
      </c>
      <c r="K72" s="8" t="inlineStr">
        <is>
          <t>通过</t>
        </is>
      </c>
      <c r="L72" s="3" t="inlineStr">
        <is>
          <t>【yucixin】POST /home/trips/add
出差单建单成功 id=1014；oa_trips.check_status=0（待提交审批）；归属人 admin_id=5</t>
        </is>
      </c>
      <c r="M72" s="3" t="inlineStr"/>
      <c r="N72" s="3" t="inlineStr"/>
      <c r="O72" s="3" t="inlineStr">
        <is>
          <t>来源：case_results_sp.json</t>
        </is>
      </c>
      <c r="P72" s="3" t="inlineStr"/>
      <c r="Q72" s="8" t="inlineStr">
        <is>
          <t>本次实测</t>
        </is>
      </c>
      <c r="R72" s="3" t="inlineStr">
        <is>
          <t>用例的「提交」=建单动作；后续「审批」用例各自独立建单并 submit_check</t>
        </is>
      </c>
      <c r="S72" s="3" t="inlineStr"/>
    </row>
    <row r="73">
      <c r="A73" s="2" t="inlineStr">
        <is>
          <t>SP-017</t>
        </is>
      </c>
      <c r="B73" s="2" t="inlineStr">
        <is>
          <t>审批流</t>
        </is>
      </c>
      <c r="C73" s="3" t="inlineStr">
        <is>
          <t>出差单-审批驳回</t>
        </is>
      </c>
      <c r="D73" s="3" t="inlineStr">
        <is>
          <t>存在一张待审批出差单，当前账号是其指定审批人</t>
        </is>
      </c>
      <c r="E73" s="3" t="inlineStr">
        <is>
          <t>1. 在待审批列表中驳回该出差单
2. 填写驳回意见
3. 用申请人账号查看</t>
        </is>
      </c>
      <c r="F73" s="3" t="inlineStr">
        <is>
          <t>审批动作：驳回；意见：用例测试驳回</t>
        </is>
      </c>
      <c r="G73" s="3" t="inlineStr">
        <is>
          <t>状态变为已驳回；驳回意见对申请人可见</t>
        </is>
      </c>
      <c r="H73" s="2" t="inlineStr">
        <is>
          <t>中</t>
        </is>
      </c>
      <c r="I73" s="3" t="inlineStr">
        <is>
          <t>账号 fengcailing/&lt;OA_USER_PWD&gt; + 待审批出差单 1 条</t>
        </is>
      </c>
      <c r="J73" s="3" t="inlineStr">
        <is>
          <t>测试计划 §1 审批流-驳回</t>
        </is>
      </c>
      <c r="K73" s="8" t="inlineStr">
        <is>
          <t>通过</t>
        </is>
      </c>
      <c r="L73" s="3" t="inlineStr">
        <is>
          <t>【yucixin】POST /api/check/flow_check check=2（出差单驳回）
驳回 code=0；check_status=3（审批不通过）；申请人取审批历史得 2 条，含「审核拒绝 / 用例测试驳回」</t>
        </is>
      </c>
      <c r="M73" s="3" t="inlineStr"/>
      <c r="N73" s="3" t="inlineStr"/>
      <c r="O73" s="3" t="inlineStr">
        <is>
          <t>来源：case_results_sp.json</t>
        </is>
      </c>
      <c r="P73" s="3" t="inlineStr"/>
      <c r="Q73" s="8" t="inlineStr">
        <is>
          <t>本次实测</t>
        </is>
      </c>
      <c r="R73" s="3" t="inlineStr">
        <is>
          <t>与 SP-011 同口径：详情页审批时间线由 JS 渲染，按接口判定可见性</t>
        </is>
      </c>
      <c r="S73" s="3" t="inlineStr"/>
    </row>
    <row r="74">
      <c r="A74" s="2" t="inlineStr">
        <is>
          <t>SP-018</t>
        </is>
      </c>
      <c r="B74" s="2" t="inlineStr">
        <is>
          <t>审批流</t>
        </is>
      </c>
      <c r="C74" s="3" t="inlineStr">
        <is>
          <t>外出单-正常提交</t>
        </is>
      </c>
      <c r="D74" s="3" t="inlineStr">
        <is>
          <t>已用业务岗账号登录</t>
        </is>
      </c>
      <c r="E74" s="3" t="inlineStr">
        <is>
          <t>1. 打开「我的假勤-外出」
2. 填写完整外出信息
3. 提交</t>
        </is>
      </c>
      <c r="F74" s="3" t="inlineStr">
        <is>
          <t>外出时间：次日 14:00~17:00；事由：用例测试</t>
        </is>
      </c>
      <c r="G74" s="3" t="inlineStr">
        <is>
          <t>提交成功；oa_outs 新增记录且状态为待审批</t>
        </is>
      </c>
      <c r="H74" s="2" t="inlineStr">
        <is>
          <t>高</t>
        </is>
      </c>
      <c r="I74" s="3" t="inlineStr">
        <is>
          <t>账号 yucixin/&lt;OA_USER_PWD&gt;</t>
        </is>
      </c>
      <c r="J74" s="3" t="inlineStr">
        <is>
          <t>测试计划 §4.3 #13 同类（外出模块）</t>
        </is>
      </c>
      <c r="K74" s="8" t="inlineStr">
        <is>
          <t>通过</t>
        </is>
      </c>
      <c r="L74" s="3" t="inlineStr">
        <is>
          <t>【yucixin】POST /home/outs/add
外出单建单成功 id=1014；oa_outs.check_status=0（待提交审批）；归属人 admin_id=5</t>
        </is>
      </c>
      <c r="M74" s="3" t="inlineStr"/>
      <c r="N74" s="3" t="inlineStr"/>
      <c r="O74" s="3" t="inlineStr">
        <is>
          <t>来源：case_results_sp.json</t>
        </is>
      </c>
      <c r="P74" s="3" t="inlineStr"/>
      <c r="Q74" s="8" t="inlineStr">
        <is>
          <t>本次实测</t>
        </is>
      </c>
      <c r="R74" s="3" t="inlineStr">
        <is>
          <t>用例的「提交」=建单动作；后续「审批」用例各自独立建单并 submit_check</t>
        </is>
      </c>
      <c r="S74" s="3" t="inlineStr"/>
    </row>
    <row r="75">
      <c r="A75" s="2" t="inlineStr">
        <is>
          <t>SP-019</t>
        </is>
      </c>
      <c r="B75" s="2" t="inlineStr">
        <is>
          <t>审批流</t>
        </is>
      </c>
      <c r="C75" s="3" t="inlineStr">
        <is>
          <t>外出单-审批通过</t>
        </is>
      </c>
      <c r="D75" s="3" t="inlineStr">
        <is>
          <t>存在一张待审批外出单，当前账号是其指定审批人</t>
        </is>
      </c>
      <c r="E75" s="3" t="inlineStr">
        <is>
          <t>1. 在待审批列表中通过该外出单
2. 查询单据状态</t>
        </is>
      </c>
      <c r="F75" s="3" t="inlineStr">
        <is>
          <t>审批动作：通过</t>
        </is>
      </c>
      <c r="G75" s="3" t="inlineStr">
        <is>
          <t>状态变为已通过并正确回写</t>
        </is>
      </c>
      <c r="H75" s="2" t="inlineStr">
        <is>
          <t>中</t>
        </is>
      </c>
      <c r="I75" s="3" t="inlineStr">
        <is>
          <t>账号 fengcailing/&lt;OA_USER_PWD&gt; + 待审批外出单 1 条</t>
        </is>
      </c>
      <c r="J75" s="3" t="inlineStr">
        <is>
          <t>测试计划 §2 数据校验</t>
        </is>
      </c>
      <c r="K75" s="8" t="inlineStr">
        <is>
          <t>通过</t>
        </is>
      </c>
      <c r="L75" s="3" t="inlineStr">
        <is>
          <t>【yucixin】POST /api/check/flow_check check=1（外出单）
审批 code=0；check_status=2（审批通过）并正确回写 check_time=0</t>
        </is>
      </c>
      <c r="M75" s="3" t="inlineStr"/>
      <c r="N75" s="3" t="inlineStr"/>
      <c r="O75" s="3" t="inlineStr">
        <is>
          <t>来源：case_results_sp.json</t>
        </is>
      </c>
      <c r="P75" s="3" t="inlineStr"/>
      <c r="Q75" s="8" t="inlineStr">
        <is>
          <t>本次实测</t>
        </is>
      </c>
      <c r="R75" s="3" t="inlineStr"/>
      <c r="S75" s="3" t="inlineStr"/>
    </row>
    <row r="76">
      <c r="A76" s="2" t="inlineStr">
        <is>
          <t>SP-020</t>
        </is>
      </c>
      <c r="B76" s="2" t="inlineStr">
        <is>
          <t>审批流</t>
        </is>
      </c>
      <c r="C76" s="3" t="inlineStr">
        <is>
          <t>全流程-多级审批逐级流转</t>
        </is>
      </c>
      <c r="D76" s="3" t="inlineStr">
        <is>
          <t>已配置两级审批流程的请假类型</t>
        </is>
      </c>
      <c r="E76" s="3" t="inlineStr">
        <is>
          <t>1. 申请人提交请假单
2. 第一级审批人通过
3. 观察是否流转到第二级
4. 第二级审批人通过</t>
        </is>
      </c>
      <c r="F76" s="3" t="inlineStr">
        <is>
          <t>审批流程：两级（check_step_sort 依次为 1、2）</t>
        </is>
      </c>
      <c r="G76" s="3" t="inlineStr">
        <is>
          <t>第一级通过后单据流转至第二级，第二级待办中出现该单据；两级均通过后状态才变为已通过</t>
        </is>
      </c>
      <c r="H76" s="2" t="inlineStr">
        <is>
          <t>高</t>
        </is>
      </c>
      <c r="I76" s="3" t="inlineStr">
        <is>
          <t>账号 yucixin + 两级审批人各 1</t>
        </is>
      </c>
      <c r="J76" s="3" t="inlineStr">
        <is>
          <t>测试计划 §1 多级审批（check_step_sort + flow_list）</t>
        </is>
      </c>
      <c r="K76" s="8" t="inlineStr">
        <is>
          <t>通过</t>
        </is>
      </c>
      <c r="L76" s="3" t="inlineStr">
        <is>
          <t>【yucixin】submit_check → 第一级 flow_check(node=2) → 第二级 flow_check
审批链 flow_step=2 级；第一级通过后 check_status=1 且当前审批人转为 admin(uid=1)；第二级通过后 check_status=2（审批通过）</t>
        </is>
      </c>
      <c r="M76" s="3" t="inlineStr"/>
      <c r="N76" s="3" t="inlineStr"/>
      <c r="O76" s="3" t="inlineStr">
        <is>
          <t>来源：case_results_sp.json</t>
        </is>
      </c>
      <c r="P76" s="3" t="inlineStr"/>
      <c r="Q76" s="8" t="inlineStr">
        <is>
          <t>本次实测</t>
        </is>
      </c>
      <c r="R76" s="3" t="inlineStr"/>
      <c r="S76" s="3" t="inlineStr"/>
    </row>
    <row r="77">
      <c r="A77" s="2" t="inlineStr">
        <is>
          <t>SP-021</t>
        </is>
      </c>
      <c r="B77" s="2" t="inlineStr">
        <is>
          <t>审批流</t>
        </is>
      </c>
      <c r="C77" s="3" t="inlineStr">
        <is>
          <t>多级审批-第一级通过后流转到第二级</t>
        </is>
      </c>
      <c r="D77" s="3" t="inlineStr">
        <is>
          <t>存在两级审批流程，且已有单据处于第一级待审批</t>
        </is>
      </c>
      <c r="E77" s="3" t="inlineStr">
        <is>
          <t>1. 第一级审批人通过
2. 用第二级审批人账号查看待我审批列表
3. 查询单据当前审批步骤字段</t>
        </is>
      </c>
      <c r="F77" s="3" t="inlineStr">
        <is>
          <t>无</t>
        </is>
      </c>
      <c r="G77" s="3" t="inlineStr">
        <is>
          <t>第二级待办中出现该单据；单据当前步骤字段指向第二级</t>
        </is>
      </c>
      <c r="H77" s="2" t="inlineStr">
        <is>
          <t>高</t>
        </is>
      </c>
      <c r="I77" s="3" t="inlineStr">
        <is>
          <t>账号 yucixin + 两级审批人各 1</t>
        </is>
      </c>
      <c r="J77" s="3" t="inlineStr">
        <is>
          <t>测试计划 §1 多级审批</t>
        </is>
      </c>
      <c r="K77" s="8" t="inlineStr">
        <is>
          <t>通过</t>
        </is>
      </c>
      <c r="L77" s="3" t="inlineStr">
        <is>
          <t>【yucixin】第一级通过后查 oa_leaves 步骤字段 + admin 待办
第一级通过后 check_status=1；check_step_sort=1；当前审批人 check_uids=1（已指向第二级 admin）；历史审批人 check_history_uids=4</t>
        </is>
      </c>
      <c r="M77" s="3" t="inlineStr"/>
      <c r="N77" s="3" t="inlineStr"/>
      <c r="O77" s="3" t="inlineStr">
        <is>
          <t>来源：case_results_sp.json</t>
        </is>
      </c>
      <c r="P77" s="3" t="inlineStr"/>
      <c r="Q77" s="8" t="inlineStr">
        <is>
          <t>本次实测</t>
        </is>
      </c>
      <c r="R77" s="3" t="inlineStr"/>
      <c r="S77" s="3" t="inlineStr"/>
    </row>
    <row r="78">
      <c r="A78" s="2" t="inlineStr">
        <is>
          <t>SP-022</t>
        </is>
      </c>
      <c r="B78" s="2" t="inlineStr">
        <is>
          <t>审批流</t>
        </is>
      </c>
      <c r="C78" s="3" t="inlineStr">
        <is>
          <t>多级审批-中间级驳回后流程终止</t>
        </is>
      </c>
      <c r="D78" s="3" t="inlineStr">
        <is>
          <t>存在两级审批流程，且单据已流转到第二级</t>
        </is>
      </c>
      <c r="E78" s="3" t="inlineStr">
        <is>
          <t>1. 第二级审批人驳回
2. 查询单据状态与后续待办</t>
        </is>
      </c>
      <c r="F78" s="3" t="inlineStr">
        <is>
          <t>审批动作：第二级驳回</t>
        </is>
      </c>
      <c r="G78" s="3" t="inlineStr">
        <is>
          <t>单据状态变为已驳回；不再产生后续待办；第一级审批记录仍保留在审批历史中</t>
        </is>
      </c>
      <c r="H78" s="2" t="inlineStr">
        <is>
          <t>高</t>
        </is>
      </c>
      <c r="I78" s="3" t="inlineStr">
        <is>
          <t>账号 yucixin + 两级审批人各 1</t>
        </is>
      </c>
      <c r="J78" s="3" t="inlineStr">
        <is>
          <t>测试计划 §1 多级审批 + 审批历史记录</t>
        </is>
      </c>
      <c r="K78" s="8" t="inlineStr">
        <is>
          <t>通过</t>
        </is>
      </c>
      <c r="L78" s="3" t="inlineStr">
        <is>
          <t>【yucixin】第二级审批人驳回
驳回 code=0；check_status=3（审批不通过）；后续待办数=0；审批记录 2→3 条（第一级记录保留）</t>
        </is>
      </c>
      <c r="M78" s="3" t="inlineStr"/>
      <c r="N78" s="3" t="inlineStr"/>
      <c r="O78" s="3" t="inlineStr">
        <is>
          <t>来源：case_results_sp.json</t>
        </is>
      </c>
      <c r="P78" s="3" t="inlineStr"/>
      <c r="Q78" s="8" t="inlineStr">
        <is>
          <t>本次实测</t>
        </is>
      </c>
      <c r="R78" s="3" t="inlineStr"/>
      <c r="S78" s="3" t="inlineStr"/>
    </row>
    <row r="79">
      <c r="A79" s="2" t="inlineStr">
        <is>
          <t>SP-023</t>
        </is>
      </c>
      <c r="B79" s="2" t="inlineStr">
        <is>
          <t>审批流</t>
        </is>
      </c>
      <c r="C79" s="3" t="inlineStr">
        <is>
          <t>会签-全部通过才通过</t>
        </is>
      </c>
      <c r="D79" s="3" t="inlineStr">
        <is>
          <t>已配置会签（check_types=1）的审批流程，含 2 名以上审批人</t>
        </is>
      </c>
      <c r="E79" s="3" t="inlineStr">
        <is>
          <t>1. 申请人提交单据
2. 会签人中前几位分别通过
3. 查询在所有人通过前的单据状态
4. 最后一位通过后再次查询</t>
        </is>
      </c>
      <c r="F79" s="3" t="inlineStr">
        <is>
          <t>check_types=1（会签全过）</t>
        </is>
      </c>
      <c r="G79" s="3" t="inlineStr">
        <is>
          <t>全部通过前状态保持审批中；最后一位通过后状态才变为已通过</t>
        </is>
      </c>
      <c r="H79" s="2" t="inlineStr">
        <is>
          <t>高</t>
        </is>
      </c>
      <c r="I79" s="3" t="inlineStr">
        <is>
          <t>账号 yucixin + 会签审批人 2 名以上</t>
        </is>
      </c>
      <c r="J79" s="3" t="inlineStr">
        <is>
          <t>测试计划 §1 会签/或签（check_types：1=会签全过）</t>
        </is>
      </c>
      <c r="K79" s="8" t="inlineStr">
        <is>
          <t>通过</t>
        </is>
      </c>
      <c r="L79" s="3" t="inlineStr">
        <is>
          <t>【admin(1) → fengcailing(4)】POST /api/check/submit_check(flow_id=20，不带 check_uids) + 两次 POST /api/check/flow_check
提交后：oa_leaves.check_status=1、check_uids=1,4、生成 1 级步骤（check_types=1 会签）；第1位(admin)通过后：check_status=1（仍审批中）、check_uids=4（剩第2位）、本级审批记录 1 条；第2位(fengcailing)通过后：check_status=2（已通过）、check_uids=(空)</t>
        </is>
      </c>
      <c r="M79" s="3" t="inlineStr"/>
      <c r="N79" s="3" t="inlineStr"/>
      <c r="O79" s="3" t="inlineStr">
        <is>
          <t>来源：case_results_sp_flow.json</t>
        </is>
      </c>
      <c r="P79" s="3" t="inlineStr"/>
      <c r="Q79" s="8" t="inlineStr">
        <is>
          <t>本次实测</t>
        </is>
      </c>
      <c r="R79" s="3" t="inlineStr">
        <is>
          <t>会签（check_types=1）需凑满本级人数才流转，判据 app/api/controller/Check.php:414</t>
        </is>
      </c>
      <c r="S79" s="3" t="inlineStr"/>
    </row>
    <row r="80">
      <c r="A80" s="2" t="inlineStr">
        <is>
          <t>SP-024</t>
        </is>
      </c>
      <c r="B80" s="2" t="inlineStr">
        <is>
          <t>审批流</t>
        </is>
      </c>
      <c r="C80" s="3" t="inlineStr">
        <is>
          <t>会签-一人驳回则整体驳回</t>
        </is>
      </c>
      <c r="D80" s="3" t="inlineStr">
        <is>
          <t>已配置会签（check_types=1）且单据处于会签中</t>
        </is>
      </c>
      <c r="E80" s="3" t="inlineStr">
        <is>
          <t>1. 其中一位会签人驳回
2. 查询单据状态
3. 查看其余会签人的待办</t>
        </is>
      </c>
      <c r="F80" s="3" t="inlineStr">
        <is>
          <t>审批动作：其中一人驳回</t>
        </is>
      </c>
      <c r="G80" s="3" t="inlineStr">
        <is>
          <t>单据状态变为已驳回；其余会签人的待办不再需要处理（或标记为已终止）</t>
        </is>
      </c>
      <c r="H80" s="2" t="inlineStr">
        <is>
          <t>高</t>
        </is>
      </c>
      <c r="I80" s="3" t="inlineStr">
        <is>
          <t>账号 yucixin + 会签审批人 2 名以上</t>
        </is>
      </c>
      <c r="J80" s="3" t="inlineStr">
        <is>
          <t>测试计划 §1 会签（1=会签全过）</t>
        </is>
      </c>
      <c r="K80" s="8" t="inlineStr">
        <is>
          <t>通过</t>
        </is>
      </c>
      <c r="L80" s="3" t="inlineStr">
        <is>
          <t>【admin(1) → fengcailing(4)】POST /api/check/flow_check（check=1 通过 → check=2 驳回）
第1位通过后：check_status=1、check_uids=4、第2位(id=4)有待办=True；第2位驳回后：check_status=3（不通过）、check_uids=(空)、第2位待办=False（已终止）</t>
        </is>
      </c>
      <c r="M80" s="3" t="inlineStr"/>
      <c r="N80" s="3" t="inlineStr"/>
      <c r="O80" s="3" t="inlineStr">
        <is>
          <t>来源：case_results_sp_flow.json</t>
        </is>
      </c>
      <c r="P80" s="3" t="inlineStr"/>
      <c r="Q80" s="8" t="inlineStr">
        <is>
          <t>本次实测</t>
        </is>
      </c>
      <c r="R80" s="3" t="inlineStr">
        <is>
          <t>会签中一人驳回的整体状态与其余人待办终止（Check.php:527 起的驳回分支；只有 check_role==5 才走 :542 的回退逻辑，本级 check_role=4 时直接置终态 3）</t>
        </is>
      </c>
      <c r="S80" s="3" t="inlineStr"/>
    </row>
    <row r="81">
      <c r="A81" s="2" t="inlineStr">
        <is>
          <t>SP-025</t>
        </is>
      </c>
      <c r="B81" s="2" t="inlineStr">
        <is>
          <t>审批流</t>
        </is>
      </c>
      <c r="C81" s="3" t="inlineStr">
        <is>
          <t>或签-任一人通过即通过</t>
        </is>
      </c>
      <c r="D81" s="3" t="inlineStr">
        <is>
          <t>已配置或签（check_types=2）的审批流程，含 2 名以上审批人</t>
        </is>
      </c>
      <c r="E81" s="3" t="inlineStr">
        <is>
          <t>1. 申请人提交单据
2. 其中一位审批人通过
3. 查询单据状态</t>
        </is>
      </c>
      <c r="F81" s="3" t="inlineStr">
        <is>
          <t>check_types=2（或签任一）</t>
        </is>
      </c>
      <c r="G81" s="3" t="inlineStr">
        <is>
          <t>该审批人通过后单据即变为已通过，无需其余审批人处理</t>
        </is>
      </c>
      <c r="H81" s="2" t="inlineStr">
        <is>
          <t>高</t>
        </is>
      </c>
      <c r="I81" s="3" t="inlineStr">
        <is>
          <t>账号 yucixin + 或签审批人 2 名以上</t>
        </is>
      </c>
      <c r="J81" s="3" t="inlineStr">
        <is>
          <t>测试计划 §1 会签/或签（check_types：2=或签任一）</t>
        </is>
      </c>
      <c r="K81" s="8" t="inlineStr">
        <is>
          <t>通过</t>
        </is>
      </c>
      <c r="L81" s="3" t="inlineStr">
        <is>
          <t>【admin(1)（第2位 fengcailing 全程未审批）】POST /api/check/submit_check(flow_id=21) + 一次 POST /api/check/flow_check(check=1)
或签流程 2 级（第1级 或签 uid=1,4；第2级 uid=1）；提交后 check_status=1、check_uids=1,4；仅第1位(admin)通过后：check_step_sort 0→1、check_status=1（仍审批中）、check_uids=1（= 第2级审批人）、第1级审批记录仅 1 条、落选者(id=4)待办 True→False</t>
        </is>
      </c>
      <c r="M81" s="3" t="inlineStr">
        <is>
          <t>设计原文「该审批人通过后单据即变为已通过」**只在或签处于末级时成立**。本次实测用两级或签流程（第1级或签 2 人 / 第2级 1 人），故第1级任一人通过后单据**进入第2级**：check_status 仍=1（审批中）、check_step_sort 0→1、check_uids 改写为第2级审批人「1」。判据「任一人通过即流转、不等其余人」与设计一致，故记通过，仅修订措辞（「变为已通过」→「进入下一级」）。</t>
        </is>
      </c>
      <c r="N81" s="3" t="inlineStr"/>
      <c r="O81" s="3" t="inlineStr">
        <is>
          <t>来源：case_results_sp_flow.json</t>
        </is>
      </c>
      <c r="P81" s="3" t="inlineStr"/>
      <c r="Q81" s="8" t="inlineStr">
        <is>
          <t>本次实测</t>
        </is>
      </c>
      <c r="R81" s="3" t="inlineStr">
        <is>
          <t>或签（check_types=2）任一人通过即流转，判据 app/api/controller/Check.php:414</t>
        </is>
      </c>
      <c r="S81" s="3" t="inlineStr"/>
    </row>
    <row r="82">
      <c r="A82" s="2" t="inlineStr">
        <is>
          <t>SP-026</t>
        </is>
      </c>
      <c r="B82" s="2" t="inlineStr">
        <is>
          <t>审批流</t>
        </is>
      </c>
      <c r="C82" s="3" t="inlineStr">
        <is>
          <t>或签-其余审批人待办自动取消</t>
        </is>
      </c>
      <c r="D82" s="3" t="inlineStr">
        <is>
          <t>或签流程中，已有一人通过使单据变为已通过</t>
        </is>
      </c>
      <c r="E82" s="3" t="inlineStr">
        <is>
          <t>1. 用另一位或签审批人账号查看待我审批列表
2. 观察该单据是否仍在待办中</t>
        </is>
      </c>
      <c r="F82" s="3" t="inlineStr">
        <is>
          <t>无</t>
        </is>
      </c>
      <c r="G82" s="3" t="inlineStr">
        <is>
          <t>该单据不再出现在其余审批人的待办列表中，避免重复审批</t>
        </is>
      </c>
      <c r="H82" s="2" t="inlineStr">
        <is>
          <t>中</t>
        </is>
      </c>
      <c r="I82" s="3" t="inlineStr">
        <is>
          <t>账号 或签审批人各 1</t>
        </is>
      </c>
      <c r="J82" s="3" t="inlineStr">
        <is>
          <t>测试计划 §1 或签（2=或签任一）</t>
        </is>
      </c>
      <c r="K82" s="8" t="inlineStr">
        <is>
          <t>通过</t>
        </is>
      </c>
      <c r="L82" s="3" t="inlineStr">
        <is>
          <t>【admin(1)（落选者 fengcailing 未审批）】POST /api/check/submit_check(flow_id=21) + 一次 POST /api/check/flow_check(check=1)；并用 /home/approve 的同一判据查待办
通过前：落选者(id=4)对本单有待办=True、其跨模块待办总数=31；或签第1位(admin)通过后：本单待办=False、跨模块待办总数=30（差 1）；同时 check_status=1（**仍审批中**，非结束）、check_step_sort=1、check_uids=1、第1级审批记录 1 条</t>
        </is>
      </c>
      <c r="M82" s="3" t="inlineStr">
        <is>
          <t>设计原文「已有一人通过使单据变为已通过」同上：两级流程下一人通过后单据仍在审批中（check_status=1）。「其余审批人待办自动取消」这一预期成立（落选者待办 True→False，跨模块待办 31→30），故记通过；仅将「变为已通过」修订为「进入下一级」。</t>
        </is>
      </c>
      <c r="N82" s="3" t="inlineStr"/>
      <c r="O82" s="3" t="inlineStr">
        <is>
          <t>来源：case_results_sp_flow.json</t>
        </is>
      </c>
      <c r="P82" s="3" t="inlineStr"/>
      <c r="Q82" s="8" t="inlineStr">
        <is>
          <t>本次实测</t>
        </is>
      </c>
      <c r="R82" s="3" t="inlineStr">
        <is>
          <t>或签其余审批人待办自动取消（Check.php:411-413 把通过者移出 check_uids，:430 或签流转时把 check_uids 整体改写为下一级审批人；本流程刻意配了第 2 级，用以区分「落选取消」与「整单结束」）</t>
        </is>
      </c>
      <c r="S82" s="3" t="inlineStr"/>
    </row>
    <row r="83">
      <c r="A83" s="2" t="inlineStr">
        <is>
          <t>SP-027</t>
        </is>
      </c>
      <c r="B83" s="2" t="inlineStr">
        <is>
          <t>审批流</t>
        </is>
      </c>
      <c r="C83" s="3" t="inlineStr">
        <is>
          <t>审批动作-非指定审批人调用审批接口</t>
        </is>
      </c>
      <c r="D83" s="3" t="inlineStr">
        <is>
          <t>存在一张待审批单据，其指定审批人不包含当前账号</t>
        </is>
      </c>
      <c r="E83" s="3" t="inlineStr">
        <is>
          <t>1. 用非指定审批人账号向审批动作接口发送通过请求
2. 查询单据状态</t>
        </is>
      </c>
      <c r="F83" s="3" t="inlineStr">
        <is>
          <t>POST /api/check/flow_check，单据 id + 通过</t>
        </is>
      </c>
      <c r="G83" s="3" t="inlineStr">
        <is>
          <t>被拦截；单据状态不发生变化；不产生审批记录</t>
        </is>
      </c>
      <c r="H83" s="2" t="inlineStr">
        <is>
          <t>高</t>
        </is>
      </c>
      <c r="I83" s="3" t="inlineStr">
        <is>
          <t>账号 yucixin/&lt;OA_USER_PWD&gt; + 他人待审批单据 1 条</t>
        </is>
      </c>
      <c r="J83" s="3" t="inlineStr">
        <is>
          <t>测试计划 §4.3 #20（三档账号均 ❌）；对照 app/api/controller/Check.php:598 具备归属校验</t>
        </is>
      </c>
      <c r="K83" s="8" t="inlineStr">
        <is>
          <t>通过</t>
        </is>
      </c>
      <c r="L83" s="3" t="inlineStr">
        <is>
          <t>【admin】POST /api/check/flow_check check=1（非指定审批人 admin）
被拦截 code=1 msg=「您没权限审核该审批」；单据状态 1→1 未变化；审批记录 1→1 条（零痕迹）</t>
        </is>
      </c>
      <c r="M83" s="3" t="inlineStr"/>
      <c r="N83" s="3" t="inlineStr"/>
      <c r="O83" s="3" t="inlineStr">
        <is>
          <t>证据-03 ④（同一系统内审批动作有归属校验 vs 四模块 CRUD 没有）｜来源：case_results_sp.json</t>
        </is>
      </c>
      <c r="P83" s="3" t="inlineStr"/>
      <c r="Q83" s="8" t="inlineStr">
        <is>
          <t>本次实测</t>
        </is>
      </c>
      <c r="R83" s="3" t="inlineStr"/>
      <c r="S83" s="3" t="inlineStr"/>
    </row>
    <row r="84">
      <c r="A84" s="2" t="inlineStr">
        <is>
          <t>SP-028</t>
        </is>
      </c>
      <c r="B84" s="2" t="inlineStr">
        <is>
          <t>审批流</t>
        </is>
      </c>
      <c r="C84" s="3" t="inlineStr">
        <is>
          <t>待我审批列表-仅列出本人待审批单据</t>
        </is>
      </c>
      <c r="D84" s="3" t="inlineStr">
        <is>
          <t>系统中存在多名审批人的待审批单据</t>
        </is>
      </c>
      <c r="E84" s="3" t="inlineStr">
        <is>
          <t>1. 用某审批人账号打开待我审批列表
2. 核对每条单据的当前审批人</t>
        </is>
      </c>
      <c r="F84" s="3" t="inlineStr">
        <is>
          <t>GET /home/approve/checklist</t>
        </is>
      </c>
      <c r="G84" s="3" t="inlineStr">
        <is>
          <t>列表仅包含当前账号作为当前步骤审批人的单据；不含他人待办、不含已处理单据</t>
        </is>
      </c>
      <c r="H84" s="2" t="inlineStr">
        <is>
          <t>高</t>
        </is>
      </c>
      <c r="I84" s="3" t="inlineStr">
        <is>
          <t>账号 fengcailing/&lt;OA_USER_PWD&gt; + 多条待审批单据</t>
        </is>
      </c>
      <c r="J84" s="3" t="inlineStr">
        <is>
          <t>测试计划 §4.3 #18（管理岗 ✅）</t>
        </is>
      </c>
      <c r="K84" s="8" t="inlineStr">
        <is>
          <t>通过</t>
        </is>
      </c>
      <c r="L84" s="3" t="inlineStr">
        <is>
          <t>【fengcailing】POST /home/approve/checklist?status=1（待我审批）
列表 27 条，与库中「check_uids 含 fengcailing(uid=4) 且 check_status&lt;2」的 27 条一致；每条当前审批人均含本人，无他人待办、无已处理单据</t>
        </is>
      </c>
      <c r="M84" s="3" t="inlineStr"/>
      <c r="N84" s="3" t="inlineStr"/>
      <c r="O84" s="3" t="inlineStr">
        <is>
          <t>来源：case_results_sp.json</t>
        </is>
      </c>
      <c r="P84" s="3" t="inlineStr"/>
      <c r="Q84" s="8" t="inlineStr">
        <is>
          <t>本次实测</t>
        </is>
      </c>
      <c r="R84" s="3" t="inlineStr"/>
      <c r="S84" s="3" t="inlineStr"/>
    </row>
    <row r="85">
      <c r="A85" s="2" t="inlineStr">
        <is>
          <t>SP-029</t>
        </is>
      </c>
      <c r="B85" s="2" t="inlineStr">
        <is>
          <t>审批流</t>
        </is>
      </c>
      <c r="C85" s="3" t="inlineStr">
        <is>
          <t>抄送-抄送人可见但不需审批</t>
        </is>
      </c>
      <c r="D85" s="3" t="inlineStr">
        <is>
          <t>已配置抄送（is_copy）的审批流程</t>
        </is>
      </c>
      <c r="E85" s="3" t="inlineStr">
        <is>
          <t>1. 申请人提交单据
2. 用抄送人账号查看抄送列表
3. 核对是否出现在待审批列表</t>
        </is>
      </c>
      <c r="F85" s="3" t="inlineStr">
        <is>
          <t>无</t>
        </is>
      </c>
      <c r="G85" s="3" t="inlineStr">
        <is>
          <t>抄送人可在抄送列表中看到该单据；不出现在待我审批列表，无需其处理</t>
        </is>
      </c>
      <c r="H85" s="2" t="inlineStr">
        <is>
          <t>中</t>
        </is>
      </c>
      <c r="I85" s="3" t="inlineStr">
        <is>
          <t>账号 yucixin + 抄送人 1 名</t>
        </is>
      </c>
      <c r="J85" s="3" t="inlineStr">
        <is>
          <t>测试计划 §1 抄送（is_copy）</t>
        </is>
      </c>
      <c r="K85" s="8" t="inlineStr">
        <is>
          <t>通过</t>
        </is>
      </c>
      <c r="L85" s="3" t="inlineStr">
        <is>
          <t>【yucixin】submit_check(check_copy_uids=admin) + admin 查抄送列表/待办列表
提交 code=0；oa_leaves.check_copy_uids=1；抄送人 admin 的抄送列表中可见该单=True；待我审批列表中不出现=True</t>
        </is>
      </c>
      <c r="M85" s="3" t="inlineStr"/>
      <c r="N85" s="3" t="inlineStr"/>
      <c r="O85" s="3" t="inlineStr">
        <is>
          <t>来源：case_results_sp.json</t>
        </is>
      </c>
      <c r="P85" s="3" t="inlineStr"/>
      <c r="Q85" s="8" t="inlineStr">
        <is>
          <t>本次实测</t>
        </is>
      </c>
      <c r="R85" s="3" t="inlineStr"/>
      <c r="S85" s="3" t="inlineStr"/>
    </row>
    <row r="86">
      <c r="A86" s="2" t="inlineStr">
        <is>
          <t>SP-030</t>
        </is>
      </c>
      <c r="B86" s="2" t="inlineStr">
        <is>
          <t>审批流</t>
        </is>
      </c>
      <c r="C86" s="3" t="inlineStr">
        <is>
          <t>退回-审批人退回后回到申请人</t>
        </is>
      </c>
      <c r="D86" s="3" t="inlineStr">
        <is>
          <t>已配置退回（is_back）的审批流程，单据处于待审批</t>
        </is>
      </c>
      <c r="E86" s="3" t="inlineStr">
        <is>
          <t>1. 审批人执行退回
2. 用申请人账号查看单据状态</t>
        </is>
      </c>
      <c r="F86" s="3" t="inlineStr">
        <is>
          <t>审批动作：退回</t>
        </is>
      </c>
      <c r="G86" s="3" t="inlineStr">
        <is>
          <t>单据回到申请人处（状态为已退回/待修改）；申请人可修改后重新提交</t>
        </is>
      </c>
      <c r="H86" s="2" t="inlineStr">
        <is>
          <t>中</t>
        </is>
      </c>
      <c r="I86" s="3" t="inlineStr">
        <is>
          <t>账号 yucixin + 审批人 1 名</t>
        </is>
      </c>
      <c r="J86" s="3" t="inlineStr">
        <is>
          <t>测试计划 §1 退回（is_back）</t>
        </is>
      </c>
      <c r="K86" s="8" t="inlineStr">
        <is>
          <t>通过</t>
        </is>
      </c>
      <c r="L86" s="3" t="inlineStr">
        <is>
          <t>【yucixin】审批人 check=2 退回 → 申请人改写后重新提交
退回 code=0；单据回到申请人（check_status=3 审批不通过）；申请人改写 code=0 后重新提交 code=0，状态回到 1（审批中）</t>
        </is>
      </c>
      <c r="M86" s="3" t="inlineStr"/>
      <c r="N86" s="3" t="inlineStr"/>
      <c r="O86" s="3" t="inlineStr">
        <is>
          <t>来源：case_results_sp.json</t>
        </is>
      </c>
      <c r="P86" s="3" t="inlineStr"/>
      <c r="Q86" s="8" t="inlineStr">
        <is>
          <t>本次实测</t>
        </is>
      </c>
      <c r="R86" s="3" t="inlineStr">
        <is>
          <t>本系统「退回」与「驳回」同走 check=2 分支（Check.php），故落库状态同为 3「审批不通过」</t>
        </is>
      </c>
      <c r="S86" s="3" t="inlineStr"/>
    </row>
    <row r="87">
      <c r="A87" s="2" t="inlineStr">
        <is>
          <t>SP-031</t>
        </is>
      </c>
      <c r="B87" s="2" t="inlineStr">
        <is>
          <t>审批流</t>
        </is>
      </c>
      <c r="C87" s="3" t="inlineStr">
        <is>
          <t>审批历史记录-完整记录审批链</t>
        </is>
      </c>
      <c r="D87" s="3" t="inlineStr">
        <is>
          <t>存在一张经过多级审批（含一次驳回后重新提交）的单据</t>
        </is>
      </c>
      <c r="E87" s="3" t="inlineStr">
        <is>
          <t>1. 打开该单据详情
2. 查看审批历史区域</t>
        </is>
      </c>
      <c r="F87" s="3" t="inlineStr">
        <is>
          <t>无</t>
        </is>
      </c>
      <c r="G87" s="3" t="inlineStr">
        <is>
          <t>审批历史按时间顺序完整记录每一级审批人、动作、意见、时间；驳回后重新提交的历史也保留</t>
        </is>
      </c>
      <c r="H87" s="2" t="inlineStr">
        <is>
          <t>高</t>
        </is>
      </c>
      <c r="I87" s="3" t="inlineStr">
        <is>
          <t>账号 yucixin/&lt;OA_USER_PWD&gt; + 多级审批单据 1 条</t>
        </is>
      </c>
      <c r="J87" s="3" t="inlineStr">
        <is>
          <t>测试计划 §1 审批历史记录、§4.2 状态流转</t>
        </is>
      </c>
      <c r="K87" s="8" t="inlineStr">
        <is>
          <t>通过</t>
        </is>
      </c>
      <c r="L87" s="3" t="inlineStr">
        <is>
          <t>【yucixin】两级审批 + 驳回 + 重提后查看审批历史
审批历史 4 条（提交/玉辞心 → 审核通过/风采铃 → 审核拒绝/超级员工 → 提交/玉辞心），时间升序=True，每条均有审批人与时间；链路含驳回意见</t>
        </is>
      </c>
      <c r="M87" s="3" t="inlineStr"/>
      <c r="N87" s="3" t="inlineStr"/>
      <c r="O87" s="3" t="inlineStr">
        <is>
          <t>来源：case_results_sp.json</t>
        </is>
      </c>
      <c r="P87" s="3" t="inlineStr"/>
      <c r="Q87" s="8" t="inlineStr">
        <is>
          <t>本次实测</t>
        </is>
      </c>
      <c r="R87" s="3" t="inlineStr">
        <is>
          <t>驳回后重新提交的旧记录虽被软删，界面时间线仍完整展示（get_flow_nodes 不过滤 delete_time）</t>
        </is>
      </c>
      <c r="S87" s="3" t="inlineStr"/>
    </row>
    <row r="88">
      <c r="A88" s="2" t="inlineStr">
        <is>
          <t>SP-032</t>
        </is>
      </c>
      <c r="B88" s="2" t="inlineStr">
        <is>
          <t>审批流</t>
        </is>
      </c>
      <c r="C88" s="3" t="inlineStr">
        <is>
          <t>撤回-撤回后流程终止</t>
        </is>
      </c>
      <c r="D88" s="3" t="inlineStr">
        <is>
          <t>单据处于多级审批的第一级之后</t>
        </is>
      </c>
      <c r="E88" s="3" t="inlineStr">
        <is>
          <t>1. 用申请人账号撤回该单据
2. 查询单据状态
3. 查看审批人待办</t>
        </is>
      </c>
      <c r="F88" s="3" t="inlineStr">
        <is>
          <t>撤回目标：本人审批中单据</t>
        </is>
      </c>
      <c r="G88" s="3" t="inlineStr">
        <is>
          <t>状态变为已撤回；后续审批人待办中不再出现该单据；已产生的审批记录保留</t>
        </is>
      </c>
      <c r="H88" s="2" t="inlineStr">
        <is>
          <t>高</t>
        </is>
      </c>
      <c r="I88" s="3" t="inlineStr">
        <is>
          <t>账号 yucixin/&lt;OA_USER_PWD&gt; + 审批中单据 1 条</t>
        </is>
      </c>
      <c r="J88" s="3" t="inlineStr">
        <is>
          <t>测试计划 §1 撤回（check_status=4）</t>
        </is>
      </c>
      <c r="K88" s="8" t="inlineStr">
        <is>
          <t>通过</t>
        </is>
      </c>
      <c r="L88" s="3" t="inlineStr">
        <is>
          <t>【yucixin】单据流转到第二级后由申请人撤回
撤回 code=0；check_status=4（已撤回）；第二级审批人待办命中数=0；审批记录 2→3 条（已产生的记录保留）</t>
        </is>
      </c>
      <c r="M88" s="3" t="inlineStr"/>
      <c r="N88" s="3" t="inlineStr"/>
      <c r="O88" s="3" t="inlineStr">
        <is>
          <t>来源：case_results_sp.json</t>
        </is>
      </c>
      <c r="P88" s="3" t="inlineStr"/>
      <c r="Q88" s="8" t="inlineStr">
        <is>
          <t>本次实测</t>
        </is>
      </c>
      <c r="R88" s="3" t="inlineStr"/>
      <c r="S88" s="3" t="inlineStr"/>
    </row>
    <row r="89">
      <c r="A89" s="2" t="inlineStr">
        <is>
          <t>SP-033</t>
        </is>
      </c>
      <c r="B89" s="2" t="inlineStr">
        <is>
          <t>审批流</t>
        </is>
      </c>
      <c r="C89" s="3" t="inlineStr">
        <is>
          <t>列表筛选-按状态筛选</t>
        </is>
      </c>
      <c r="D89" s="3" t="inlineStr">
        <is>
          <t>本人存在待审批、已通过、已驳回、已撤回各至少 1 条单据</t>
        </is>
      </c>
      <c r="E89" s="3" t="inlineStr">
        <is>
          <t>1. 打开我申请的列表
2. 依次按各状态筛选
3. 核对结果条数</t>
        </is>
      </c>
      <c r="F89" s="3" t="inlineStr">
        <is>
          <t>筛选条件：各状态值</t>
        </is>
      </c>
      <c r="G89" s="3" t="inlineStr">
        <is>
          <t>筛选结果与库中对应状态的本人单据条数一致；无跨状态串数据</t>
        </is>
      </c>
      <c r="H89" s="2" t="inlineStr">
        <is>
          <t>中</t>
        </is>
      </c>
      <c r="I89" s="3" t="inlineStr">
        <is>
          <t>账号 yucixin/&lt;OA_USER_PWD&gt; + 各状态单据各 1 条</t>
        </is>
      </c>
      <c r="J89" s="3" t="inlineStr">
        <is>
          <t>测试计划 §4.4 接口 12（/home/approve/mylist）；注意与证据-04 的参数错位问题区分——审批列表走 controller 正确路径</t>
        </is>
      </c>
      <c r="K89" s="8" t="inlineStr">
        <is>
          <t>通过</t>
        </is>
      </c>
      <c r="L89" s="3" t="inlineStr">
        <is>
          <t>【yucixin】POST /home/approve/mylist（按 status 筛选）
各状态筛选结果与库中本人单据条数逐项一致：待审批(check_status&lt;2): 库81/接口81/越界0；已通过(check_status=2): 库24/接口24/越界0；已驳回/已撤回(check_status&gt;2): 库26/接口26/越界0；无跨状态串数据、无他人数据</t>
        </is>
      </c>
      <c r="M89" s="3" t="inlineStr"/>
      <c r="N89" s="3" t="inlineStr"/>
      <c r="O89" s="3" t="inlineStr">
        <is>
          <t>来源：case_results_sp.json</t>
        </is>
      </c>
      <c r="P89" s="3" t="inlineStr"/>
      <c r="Q89" s="8" t="inlineStr">
        <is>
          <t>本次实测</t>
        </is>
      </c>
      <c r="R89" s="3" t="inlineStr"/>
      <c r="S89" s="3" t="inlineStr"/>
    </row>
    <row r="90">
      <c r="A90" s="2" t="inlineStr">
        <is>
          <t>SP-034</t>
        </is>
      </c>
      <c r="B90" s="2" t="inlineStr">
        <is>
          <t>审批流</t>
        </is>
      </c>
      <c r="C90" s="3" t="inlineStr">
        <is>
          <t>列表分页-第二页数据正确</t>
        </is>
      </c>
      <c r="D90" s="3" t="inlineStr">
        <is>
          <t>本人单据数量超过一页（大于每页条数）</t>
        </is>
      </c>
      <c r="E90" s="3" t="inlineStr">
        <is>
          <t>1. 打开我申请的列表
2. 翻到第二页
3. 核对数据不重复、不缺失</t>
        </is>
      </c>
      <c r="F90" s="3" t="inlineStr">
        <is>
          <t>页码：2；每页条数：默认值</t>
        </is>
      </c>
      <c r="G90" s="3" t="inlineStr">
        <is>
          <t>第二页返回剩余单据；与第一页无重复；总数与库中本人单据数一致</t>
        </is>
      </c>
      <c r="H90" s="2" t="inlineStr">
        <is>
          <t>中</t>
        </is>
      </c>
      <c r="I90" s="3" t="inlineStr">
        <is>
          <t>账号 yucixin/&lt;OA_USER_PWD&gt; + 单据数量超过一页</t>
        </is>
      </c>
      <c r="J90" s="3" t="inlineStr">
        <is>
          <t>测试计划 §1 列表分页；对照证据-04 记录的 home/leaves 分页参数失效问题</t>
        </is>
      </c>
      <c r="K90" s="8" t="inlineStr">
        <is>
          <t>失败</t>
        </is>
      </c>
      <c r="L90" s="3" t="inlineStr">
        <is>
          <t>【yucixin】POST /home/approve/mylist 逐页遍历（limit=10，共 14 页）
分页跨页重复/漏行：接口 count=131，逐页取回 14 页、去重后仅 128 条（少 3 条），重复项 [(('trips', '1014'), 1, 2), (('leaves', '1123'), 2, 3), (('overtimes', '1010'), 5, 6)]。根因——Approve::get_list() 收尾为「ORDER BY create_time DESC LIMIT offset,size」，只有 create_time 一个排序键且精度到秒；19 类单据 UNION 后同秒并列的记录在两次不同 OFFSET 查询里顺序不固定，并列组压在页边界时即重复出现并挤掉本应展示的记录。降序=True</t>
        </is>
      </c>
      <c r="M90" s="3" t="inlineStr"/>
      <c r="N90" s="3" t="inlineStr">
        <is>
          <t>BUG-16（列表分页排序键不唯一致跨页重复/漏行，一般 C）</t>
        </is>
      </c>
      <c r="O90" s="3" t="inlineStr">
        <is>
          <t>证据-11｜来源：case_results_sp.json</t>
        </is>
      </c>
      <c r="P90" s="3" t="inlineStr"/>
      <c r="Q90" s="8" t="inlineStr">
        <is>
          <t>本次实测</t>
        </is>
      </c>
      <c r="R90" s="3" t="inlineStr">
        <is>
          <t>分页基数按 /home/approve/* 的 19 类单据 UNION 口径统计，与接口同源；唯一键取 (table_name,id)，因各表 id 独立自增；逐页遍历以覆盖并列组压边界的场景</t>
        </is>
      </c>
      <c r="S90" s="3" t="inlineStr"/>
    </row>
    <row r="91">
      <c r="A91" s="2" t="inlineStr">
        <is>
          <t>SP-035</t>
        </is>
      </c>
      <c r="B91" s="2" t="inlineStr">
        <is>
          <t>审批流</t>
        </is>
      </c>
      <c r="C91" s="3" t="inlineStr">
        <is>
          <t>单据列表-他人单据不出现在本人列表</t>
        </is>
      </c>
      <c r="D91" s="3" t="inlineStr">
        <is>
          <t>系统中存在他人的请假/加班/出差/外出单据</t>
        </is>
      </c>
      <c r="E91" s="3" t="inlineStr">
        <is>
          <t>1. 用业务岗账号打开我的假勤各列表
2. 核对每条记录的归属人</t>
        </is>
      </c>
      <c r="F91" s="3" t="inlineStr">
        <is>
          <t>无</t>
        </is>
      </c>
      <c r="G91" s="3" t="inlineStr">
        <is>
          <t>列表中仅包含本人单据，不含他人单据（数据权限生效）</t>
        </is>
      </c>
      <c r="H91" s="2" t="inlineStr">
        <is>
          <t>高</t>
        </is>
      </c>
      <c r="I91" s="3" t="inlineStr">
        <is>
          <t>账号 yucixin/&lt;OA_USER_PWD&gt; + 他人单据各 1 条</t>
        </is>
      </c>
      <c r="J91" s="3" t="inlineStr">
        <is>
          <t>测试计划 §1 数据权限（oa_data_auth）生效性 + §4.3 #14</t>
        </is>
      </c>
      <c r="K91" s="8" t="inlineStr">
        <is>
          <t>通过</t>
        </is>
      </c>
      <c r="L91" s="3" t="inlineStr">
        <is>
          <t>【yucixin】POST /oa/attendance/datalist（tab=1~4）
业务岗 yucixin 的「我的假勤」四个列表均只含本人单据：请假(tab=1): 库中本人91条，接口返回91条，他人0条；出差(tab=2): 库中本人9条，接口返回9条，他人0条；外出(tab=3): 库中本人9条，接口返回9条，他人0条；加班(tab=4): 库中本人9条，接口返回9条，他人0条</t>
        </is>
      </c>
      <c r="M91" s="3" t="inlineStr"/>
      <c r="N91" s="3" t="inlineStr"/>
      <c r="O91" s="3" t="inlineStr">
        <is>
          <t>来源：case_results_sp.json</t>
        </is>
      </c>
      <c r="P91" s="3" t="inlineStr">
        <is>
          <t>另有 /home/{leaves,trips,outs,overtimes}/datalist 为全员可见的团队视图（源码无 admin_id 过滤），非「我的」列表，未计入本条判定</t>
        </is>
      </c>
      <c r="Q91" s="8" t="inlineStr">
        <is>
          <t>本次实测</t>
        </is>
      </c>
      <c r="R91" s="3" t="inlineStr">
        <is>
          <t>「我的假勤」= oa/attendance/datalist，源码显式按 admin_id 过滤</t>
        </is>
      </c>
      <c r="S91" s="3" t="inlineStr"/>
    </row>
    <row r="92">
      <c r="A92" s="2" t="inlineStr">
        <is>
          <t>HT-001</t>
        </is>
      </c>
      <c r="B92" s="2" t="inlineStr">
        <is>
          <t>合同管理</t>
        </is>
      </c>
      <c r="C92" s="3" t="inlineStr">
        <is>
          <t>销售合同-新增</t>
        </is>
      </c>
      <c r="D92" s="3" t="inlineStr">
        <is>
          <t>已用管理岗账号登录，具备合同新增权限</t>
        </is>
      </c>
      <c r="E92" s="3" t="inlineStr">
        <is>
          <t>1. 打开「合同管理-销售合同」
2. 点击新增，填写完整合同信息
3. 保存
4. 回到列表查看</t>
        </is>
      </c>
      <c r="F92" s="3" t="inlineStr">
        <is>
          <t>合同名称：用例测试销售合同A；对方单位：用例测试公司；金额：10000.00；起止日期：当日至次年同日；税点：6</t>
        </is>
      </c>
      <c r="G92" s="3" t="inlineStr">
        <is>
          <t>保存成功；oa_contract 新增记录且类型为销售合同；列表中可见</t>
        </is>
      </c>
      <c r="H92" s="2" t="inlineStr">
        <is>
          <t>高</t>
        </is>
      </c>
      <c r="I92" s="3" t="inlineStr">
        <is>
          <t>账号 fengcailing/&lt;OA_USER_PWD&gt;</t>
        </is>
      </c>
      <c r="J92" s="3" t="inlineStr">
        <is>
          <t>测试计划 §4.3 #24（管理岗 ✅）</t>
        </is>
      </c>
      <c r="K92" s="8" t="inlineStr">
        <is>
          <t>通过</t>
        </is>
      </c>
      <c r="L92" s="3" t="inlineStr">
        <is>
          <t>【fengcailing】POST /contract/contract/add → GET /contract/contract/datalist
建单 code=0 return_id=1098；oa_contract 落库 types=1（销售合同表-普通类型）cost=10000.00 is_tax=1 tax=6.00 起止=2026-09-19~2027-09-19 admin_id=4；列表中可见该合同=True</t>
        </is>
      </c>
      <c r="M92" s="3" t="inlineStr"/>
      <c r="N92" s="3" t="inlineStr"/>
      <c r="O92" s="3" t="inlineStr">
        <is>
          <t>来源：case_results_ht.json</t>
        </is>
      </c>
      <c r="P92" s="3" t="inlineStr"/>
      <c r="Q92" s="8" t="inlineStr">
        <is>
          <t>本次实测</t>
        </is>
      </c>
      <c r="R92" s="3" t="inlineStr"/>
      <c r="S92" s="3" t="inlineStr"/>
    </row>
    <row r="93">
      <c r="A93" s="2" t="inlineStr">
        <is>
          <t>HT-002</t>
        </is>
      </c>
      <c r="B93" s="2" t="inlineStr">
        <is>
          <t>合同管理</t>
        </is>
      </c>
      <c r="C93" s="3" t="inlineStr">
        <is>
          <t>销售合同-列表查看</t>
        </is>
      </c>
      <c r="D93" s="3" t="inlineStr">
        <is>
          <t>库中已有销售合同数据</t>
        </is>
      </c>
      <c r="E93" s="3" t="inlineStr">
        <is>
          <t>1. 打开销售合同列表
2. 观察列表字段与分页</t>
        </is>
      </c>
      <c r="F93" s="3" t="inlineStr">
        <is>
          <t>无</t>
        </is>
      </c>
      <c r="G93" s="3" t="inlineStr">
        <is>
          <t>正常展示销售合同列表，含合同名称、金额、状态、起止日期等关键字段；分页可用</t>
        </is>
      </c>
      <c r="H93" s="2" t="inlineStr">
        <is>
          <t>高</t>
        </is>
      </c>
      <c r="I93" s="3" t="inlineStr">
        <is>
          <t>账号 fengcailing/&lt;OA_USER_PWD&gt; + 销售合同数据</t>
        </is>
      </c>
      <c r="J93" s="3" t="inlineStr">
        <is>
          <t>测试计划 §4.3 #23（管理岗 ✅）、§4.5 合同测试数据 15~20 条</t>
        </is>
      </c>
      <c r="K93" s="8" t="inlineStr">
        <is>
          <t>通过</t>
        </is>
      </c>
      <c r="L93" s="3" t="inlineStr">
        <is>
          <t>【fengcailing】GET /contract/contract/datalist（第 1、2 页）
列表 count=1；目标合同 name/cost/code 与库中一致；interval_time=「2026-09-19 至 2027-09-19」覆盖库中起止 2026-09-19~2027-09-19；关键字段齐全（name/cost/status_name/interval_time/code/sign_time）；第 2 页取到 0 条（分页可用）</t>
        </is>
      </c>
      <c r="M93" s="3" t="inlineStr"/>
      <c r="N93" s="3" t="inlineStr"/>
      <c r="O93" s="3" t="inlineStr">
        <is>
          <t>来源：case_results_ht.json</t>
        </is>
      </c>
      <c r="P93" s="3" t="inlineStr"/>
      <c r="Q93" s="8" t="inlineStr">
        <is>
          <t>本次实测</t>
        </is>
      </c>
      <c r="R93" s="3" t="inlineStr"/>
      <c r="S93" s="3" t="inlineStr"/>
    </row>
    <row r="94">
      <c r="A94" s="2" t="inlineStr">
        <is>
          <t>HT-003</t>
        </is>
      </c>
      <c r="B94" s="2" t="inlineStr">
        <is>
          <t>合同管理</t>
        </is>
      </c>
      <c r="C94" s="3" t="inlineStr">
        <is>
          <t>销售合同-编辑</t>
        </is>
      </c>
      <c r="D94" s="3" t="inlineStr">
        <is>
          <t>库中存在一条销售合同，其 id 已知</t>
        </is>
      </c>
      <c r="E94" s="3" t="inlineStr">
        <is>
          <t>1. 打开该合同编辑页
2. 修改合同名称与金额
3. 保存
4. 重新打开详情核对</t>
        </is>
      </c>
      <c r="F94" s="3" t="inlineStr">
        <is>
          <t>名称改为：用例测试销售合同A-已改；金额改为：12000.00</t>
        </is>
      </c>
      <c r="G94" s="3" t="inlineStr">
        <is>
          <t>保存成功；详情显示修改后的值；oa_contract 对应字段已更新</t>
        </is>
      </c>
      <c r="H94" s="2" t="inlineStr">
        <is>
          <t>高</t>
        </is>
      </c>
      <c r="I94" s="3" t="inlineStr">
        <is>
          <t>账号 fengcailing/&lt;OA_USER_PWD&gt; + 销售合同 1 条</t>
        </is>
      </c>
      <c r="J94" s="3" t="inlineStr">
        <is>
          <t>测试计划 §4.3 #25（管理岗 ✅）</t>
        </is>
      </c>
      <c r="K94" s="8" t="inlineStr">
        <is>
          <t>通过</t>
        </is>
      </c>
      <c r="L94" s="3" t="inlineStr">
        <is>
          <t>【fengcailing】POST /contract/contract/add（scene=edit）→ GET /contract/contract/view
编辑 code=0；oa_contract 由「【用例数据】用例测试销售合同A / 10000.00」更新为「【用例数据】用例测试销售合同A-已改 / 12000.00」；详情页已显示新名称与新金额</t>
        </is>
      </c>
      <c r="M94" s="3" t="inlineStr"/>
      <c r="N94" s="3" t="inlineStr"/>
      <c r="O94" s="3" t="inlineStr">
        <is>
          <t>来源：case_results_ht.json</t>
        </is>
      </c>
      <c r="P94" s="3" t="inlineStr"/>
      <c r="Q94" s="8" t="inlineStr">
        <is>
          <t>本次实测</t>
        </is>
      </c>
      <c r="R94" s="3" t="inlineStr"/>
      <c r="S94" s="3" t="inlineStr"/>
    </row>
    <row r="95">
      <c r="A95" s="2" t="inlineStr">
        <is>
          <t>HT-004</t>
        </is>
      </c>
      <c r="B95" s="2" t="inlineStr">
        <is>
          <t>合同管理</t>
        </is>
      </c>
      <c r="C95" s="3" t="inlineStr">
        <is>
          <t>销售合同-删除</t>
        </is>
      </c>
      <c r="D95" s="3" t="inlineStr">
        <is>
          <t>已用超管账号登录；库中存在一条可删除的测试合同</t>
        </is>
      </c>
      <c r="E95" s="3" t="inlineStr">
        <is>
          <t>1. 在列表中对测试合同执行删除
2. 确认
3. 查询该合同 delete_time</t>
        </is>
      </c>
      <c r="F95" s="3" t="inlineStr">
        <is>
          <t>删除目标：用例测试销售合同（专用测试数据）</t>
        </is>
      </c>
      <c r="G95" s="3" t="inlineStr">
        <is>
          <t>删除成功，列表中不再显示；oa_contract.delete_time 变为非 0（软删除）</t>
        </is>
      </c>
      <c r="H95" s="2" t="inlineStr">
        <is>
          <t>高</t>
        </is>
      </c>
      <c r="I95" s="3" t="inlineStr">
        <is>
          <t>账号 admin/&lt;OA_ADMIN_PWD&gt; + 测试合同 1 条</t>
        </is>
      </c>
      <c r="J95" s="3" t="inlineStr">
        <is>
          <t>测试计划 §4.3 #26（超管 ✅）；删除实现对应该表 delete_time 字段</t>
        </is>
      </c>
      <c r="K95" s="8" t="inlineStr">
        <is>
          <t>通过</t>
        </is>
      </c>
      <c r="L95" s="3" t="inlineStr">
        <is>
          <t>【admin】DELETE /contract/contract/del?id=1099
code=0；oa_contract.delete_time=1789749556（软删除，非物理删除）；列表中已不可见</t>
        </is>
      </c>
      <c r="M95" s="3" t="inlineStr"/>
      <c r="N95" s="3" t="inlineStr"/>
      <c r="O95" s="3" t="inlineStr">
        <is>
          <t>来源：case_results_ht.json</t>
        </is>
      </c>
      <c r="P95" s="3" t="inlineStr">
        <is>
          <t>Contract::del() 只判断了请求方法（request()-&gt;isDelete()），没有任何归属或权限校验 —— 任何已登录账号都能按 id 软删任意合同。归入 BUG-02「合同模块接口缺 RBAC 闸门」同族问题，不另开编号</t>
        </is>
      </c>
      <c r="Q95" s="8" t="inlineStr">
        <is>
          <t>本次实测</t>
        </is>
      </c>
      <c r="R95" s="3" t="inlineStr"/>
      <c r="S95" s="3" t="inlineStr"/>
    </row>
    <row r="96">
      <c r="A96" s="2" t="inlineStr">
        <is>
          <t>HT-005</t>
        </is>
      </c>
      <c r="B96" s="2" t="inlineStr">
        <is>
          <t>合同管理</t>
        </is>
      </c>
      <c r="C96" s="3" t="inlineStr">
        <is>
          <t>销售合同-详情查看</t>
        </is>
      </c>
      <c r="D96" s="3" t="inlineStr">
        <is>
          <t>库中存在一条销售合同，其 id 已知</t>
        </is>
      </c>
      <c r="E96" s="3" t="inlineStr">
        <is>
          <t>1. 在列表中点击该合同进入详情
2. 核对各字段</t>
        </is>
      </c>
      <c r="F96" s="3" t="inlineStr">
        <is>
          <t>无</t>
        </is>
      </c>
      <c r="G96" s="3" t="inlineStr">
        <is>
          <t>详情正确展示全部字段，与库中数据一致；金额与日期格式正确</t>
        </is>
      </c>
      <c r="H96" s="2" t="inlineStr">
        <is>
          <t>中</t>
        </is>
      </c>
      <c r="I96" s="3" t="inlineStr">
        <is>
          <t>账号 fengcailing/&lt;OA_USER_PWD&gt; + 销售合同 1 条</t>
        </is>
      </c>
      <c r="J96" s="3" t="inlineStr">
        <is>
          <t>测试计划 §4.4 接口 18（合同详情）</t>
        </is>
      </c>
      <c r="K96" s="8" t="inlineStr">
        <is>
          <t>通过</t>
        </is>
      </c>
      <c r="L96" s="3" t="inlineStr">
        <is>
          <t>【fengcailing】GET /contract/contract/view?id=1100
HTTP 200；详情页与库中数据逐项一致：名称/编码/金额(8888.88)/起止日期(2026-09-09~2027-07-16) 全部命中</t>
        </is>
      </c>
      <c r="M96" s="3" t="inlineStr"/>
      <c r="N96" s="3" t="inlineStr"/>
      <c r="O96" s="3" t="inlineStr">
        <is>
          <t>来源：case_results_ht.json</t>
        </is>
      </c>
      <c r="P96" s="3" t="inlineStr"/>
      <c r="Q96" s="8" t="inlineStr">
        <is>
          <t>本次实测</t>
        </is>
      </c>
      <c r="R96" s="3" t="inlineStr">
        <is>
          <t>金额按 decimal(15,2) 存储，页面回显 8888.88 无精度丢失</t>
        </is>
      </c>
      <c r="S96" s="3" t="inlineStr"/>
    </row>
    <row r="97">
      <c r="A97" s="2" t="inlineStr">
        <is>
          <t>HT-006</t>
        </is>
      </c>
      <c r="B97" s="2" t="inlineStr">
        <is>
          <t>合同管理</t>
        </is>
      </c>
      <c r="C97" s="3" t="inlineStr">
        <is>
          <t>采购合同-新增</t>
        </is>
      </c>
      <c r="D97" s="3" t="inlineStr">
        <is>
          <t>已用管理岗账号登录</t>
        </is>
      </c>
      <c r="E97" s="3" t="inlineStr">
        <is>
          <t>1. 打开「合同管理-采购合同」
2. 填写完整信息并保存
3. 回列表查看</t>
        </is>
      </c>
      <c r="F97" s="3" t="inlineStr">
        <is>
          <t>合同名称：用例测试采购合同A；对方单位：用例测试供应商；金额：5000.00；税点：13</t>
        </is>
      </c>
      <c r="G97" s="3" t="inlineStr">
        <is>
          <t>保存成功；记录类型为采购合同；列表中可见</t>
        </is>
      </c>
      <c r="H97" s="2" t="inlineStr">
        <is>
          <t>高</t>
        </is>
      </c>
      <c r="I97" s="3" t="inlineStr">
        <is>
          <t>账号 fengcailing/&lt;OA_USER_PWD&gt;</t>
        </is>
      </c>
      <c r="J97" s="3" t="inlineStr">
        <is>
          <t>测试计划 §4.3 #24 + §4.5（采购合同）</t>
        </is>
      </c>
      <c r="K97" s="8" t="inlineStr">
        <is>
          <t>通过</t>
        </is>
      </c>
      <c r="L97" s="3" t="inlineStr">
        <is>
          <t>【fengcailing】POST /contract/purchase/add → GET /contract/purchase/datalist
建单 code=0 return_id=1027；oa_purchase 落库 types=1（采购合同表-普通类型）cost=5000.00 admin_id=4；采购列表中可见</t>
        </is>
      </c>
      <c r="M97" s="3" t="inlineStr"/>
      <c r="N97" s="3" t="inlineStr"/>
      <c r="O97" s="3" t="inlineStr">
        <is>
          <t>来源：case_results_ht.json</t>
        </is>
      </c>
      <c r="P97" s="3" t="inlineStr"/>
      <c r="Q97" s="8" t="inlineStr">
        <is>
          <t>本次实测</t>
        </is>
      </c>
      <c r="R97" s="3" t="inlineStr">
        <is>
          <t>用例「测试数据」列写了「税点：13」，但 oa_purchase 表没有税点字段（对采购合同未建模税点），故本用例只核对有落库的字段</t>
        </is>
      </c>
      <c r="S97" s="3" t="inlineStr"/>
    </row>
    <row r="98">
      <c r="A98" s="2" t="inlineStr">
        <is>
          <t>HT-007</t>
        </is>
      </c>
      <c r="B98" s="2" t="inlineStr">
        <is>
          <t>合同管理</t>
        </is>
      </c>
      <c r="C98" s="3" t="inlineStr">
        <is>
          <t>采购合同-列表查看</t>
        </is>
      </c>
      <c r="D98" s="3" t="inlineStr">
        <is>
          <t>库中已有采购合同数据</t>
        </is>
      </c>
      <c r="E98" s="3" t="inlineStr">
        <is>
          <t>1. 打开采购合同列表
2. 观察列表内容</t>
        </is>
      </c>
      <c r="F98" s="3" t="inlineStr">
        <is>
          <t>无</t>
        </is>
      </c>
      <c r="G98" s="3" t="inlineStr">
        <is>
          <t>正常展示采购合同列表；销售与采购两类数据不串</t>
        </is>
      </c>
      <c r="H98" s="2" t="inlineStr">
        <is>
          <t>高</t>
        </is>
      </c>
      <c r="I98" s="3" t="inlineStr">
        <is>
          <t>账号 fengcailing/&lt;OA_USER_PWD&gt; + 采购合同数据</t>
        </is>
      </c>
      <c r="J98" s="3" t="inlineStr">
        <is>
          <t>测试计划 §4.3 #23</t>
        </is>
      </c>
      <c r="K98" s="8" t="inlineStr">
        <is>
          <t>通过</t>
        </is>
      </c>
      <c r="L98" s="3" t="inlineStr">
        <is>
          <t>【fengcailing】GET /contract/purchase/datalist + GET /contract/contract/datalist
采购列表 count=1 含目标合同，name/cost/code 与库一致（【用例数据】用例测试采购合同A / 5000.00 / HT-CASE-PU004）；销售列表 count=2 中不含任何采购合同 code（两类分属 oa_contract / oa_purchase 两张表）</t>
        </is>
      </c>
      <c r="M98" s="3" t="inlineStr"/>
      <c r="N98" s="3" t="inlineStr"/>
      <c r="O98" s="3" t="inlineStr">
        <is>
          <t>来源：case_results_ht.json</t>
        </is>
      </c>
      <c r="P98" s="3" t="inlineStr"/>
      <c r="Q98" s="8" t="inlineStr">
        <is>
          <t>本次实测</t>
        </is>
      </c>
      <c r="R98" s="3" t="inlineStr">
        <is>
          <t>判重用 code 而非 id：两张表各自自增，id 不具跨表唯一性</t>
        </is>
      </c>
      <c r="S98" s="3" t="inlineStr"/>
    </row>
    <row r="99">
      <c r="A99" s="2" t="inlineStr">
        <is>
          <t>HT-008</t>
        </is>
      </c>
      <c r="B99" s="2" t="inlineStr">
        <is>
          <t>合同管理</t>
        </is>
      </c>
      <c r="C99" s="3" t="inlineStr">
        <is>
          <t>采购合同-编辑</t>
        </is>
      </c>
      <c r="D99" s="3" t="inlineStr">
        <is>
          <t>库中存在一条采购合同，其 id 已知</t>
        </is>
      </c>
      <c r="E99" s="3" t="inlineStr">
        <is>
          <t>1. 打开编辑页
2. 修改金额与备注
3. 保存并核对</t>
        </is>
      </c>
      <c r="F99" s="3" t="inlineStr">
        <is>
          <t>金额改为：5500.00</t>
        </is>
      </c>
      <c r="G99" s="3" t="inlineStr">
        <is>
          <t>保存成功；详情显示新值</t>
        </is>
      </c>
      <c r="H99" s="2" t="inlineStr">
        <is>
          <t>中</t>
        </is>
      </c>
      <c r="I99" s="3" t="inlineStr">
        <is>
          <t>账号 fengcailing/&lt;OA_USER_PWD&gt; + 采购合同 1 条</t>
        </is>
      </c>
      <c r="J99" s="3" t="inlineStr">
        <is>
          <t>测试计划 §4.3 #25</t>
        </is>
      </c>
      <c r="K99" s="8" t="inlineStr">
        <is>
          <t>通过</t>
        </is>
      </c>
      <c r="L99" s="3" t="inlineStr">
        <is>
          <t>【fengcailing】POST /contract/purchase/add（scene=edit）→ GET purchase/view
编辑 code=0；cost 5000.00→5500.00、备注已更新；详情页已显示新金额</t>
        </is>
      </c>
      <c r="M99" s="3" t="inlineStr"/>
      <c r="N99" s="3" t="inlineStr"/>
      <c r="O99" s="3" t="inlineStr">
        <is>
          <t>来源：case_results_ht.json</t>
        </is>
      </c>
      <c r="P99" s="3" t="inlineStr"/>
      <c r="Q99" s="8" t="inlineStr">
        <is>
          <t>本次实测</t>
        </is>
      </c>
      <c r="R99" s="3" t="inlineStr"/>
      <c r="S99" s="3" t="inlineStr"/>
    </row>
    <row r="100">
      <c r="A100" s="2" t="inlineStr">
        <is>
          <t>HT-009</t>
        </is>
      </c>
      <c r="B100" s="2" t="inlineStr">
        <is>
          <t>合同管理</t>
        </is>
      </c>
      <c r="C100" s="3" t="inlineStr">
        <is>
          <t>采购合同-删除</t>
        </is>
      </c>
      <c r="D100" s="3" t="inlineStr">
        <is>
          <t>已用超管账号登录；库中存在测试用采购合同</t>
        </is>
      </c>
      <c r="E100" s="3" t="inlineStr">
        <is>
          <t>1. 列表中对测试采购合同执行删除
2. 查询 delete_time</t>
        </is>
      </c>
      <c r="F100" s="3" t="inlineStr">
        <is>
          <t>删除目标：用例测试采购合同（专用测试数据）</t>
        </is>
      </c>
      <c r="G100" s="3" t="inlineStr">
        <is>
          <t>删除成功；delete_time 变为非 0</t>
        </is>
      </c>
      <c r="H100" s="2" t="inlineStr">
        <is>
          <t>中</t>
        </is>
      </c>
      <c r="I100" s="3" t="inlineStr">
        <is>
          <t>账号 admin/&lt;OA_ADMIN_PWD&gt; + 测试采购合同 1 条</t>
        </is>
      </c>
      <c r="J100" s="3" t="inlineStr">
        <is>
          <t>测试计划 §4.3 #26</t>
        </is>
      </c>
      <c r="K100" s="8" t="inlineStr">
        <is>
          <t>通过</t>
        </is>
      </c>
      <c r="L100" s="3" t="inlineStr">
        <is>
          <t>【admin】DELETE /contract/purchase/del?id=1028
code=0；oa_purchase.delete_time=1789749559（软删除）</t>
        </is>
      </c>
      <c r="M100" s="3" t="inlineStr"/>
      <c r="N100" s="3" t="inlineStr"/>
      <c r="O100" s="3" t="inlineStr">
        <is>
          <t>来源：case_results_ht.json</t>
        </is>
      </c>
      <c r="P100" s="3" t="inlineStr"/>
      <c r="Q100" s="8" t="inlineStr">
        <is>
          <t>本次实测</t>
        </is>
      </c>
      <c r="R100" s="3" t="inlineStr"/>
      <c r="S100" s="3" t="inlineStr"/>
    </row>
    <row r="101">
      <c r="A101" s="2" t="inlineStr">
        <is>
          <t>HT-010</t>
        </is>
      </c>
      <c r="B101" s="2" t="inlineStr">
        <is>
          <t>合同管理</t>
        </is>
      </c>
      <c r="C101" s="3" t="inlineStr">
        <is>
          <t>合同-必填项为空提交</t>
        </is>
      </c>
      <c r="D101" s="3" t="inlineStr">
        <is>
          <t>已用管理岗账号登录</t>
        </is>
      </c>
      <c r="E101" s="3" t="inlineStr">
        <is>
          <t>1. 打开合同新增页
2. 清空合同名称/金额/日期等必填项
3. 保存</t>
        </is>
      </c>
      <c r="F101" s="3" t="inlineStr">
        <is>
          <t>必填项留空</t>
        </is>
      </c>
      <c r="G101" s="3" t="inlineStr">
        <is>
          <t>保存被拒绝并给出明确的必填校验提示；不生成合同记录</t>
        </is>
      </c>
      <c r="H101" s="2" t="inlineStr">
        <is>
          <t>高</t>
        </is>
      </c>
      <c r="I101" s="3" t="inlineStr">
        <is>
          <t>账号 fengcailing/&lt;OA_USER_PWD&gt;</t>
        </is>
      </c>
      <c r="J101" s="3" t="inlineStr">
        <is>
          <t>测试计划 §4.2 异常用例、§1 合同必填校验</t>
        </is>
      </c>
      <c r="K101" s="8" t="inlineStr">
        <is>
          <t>通过</t>
        </is>
      </c>
      <c r="L101" s="3" t="inlineStr">
        <is>
          <t>【fengcailing】POST /contract/contract/add（名称/编码/金额/日期全空）
保存被拒 code=1 msg=「结束时间需要大于开始时间」；oa_contract 行数 28→28，未生成记录。提示语由 Validate 的 message 表给出（name.require/code.require/cost.require）</t>
        </is>
      </c>
      <c r="M101" s="3" t="inlineStr"/>
      <c r="N101" s="3" t="inlineStr"/>
      <c r="O101" s="3" t="inlineStr">
        <is>
          <t>来源：case_results_ht.json</t>
        </is>
      </c>
      <c r="P101" s="3" t="inlineStr"/>
      <c r="Q101" s="8" t="inlineStr">
        <is>
          <t>本次实测</t>
        </is>
      </c>
      <c r="R101" s="3" t="inlineStr"/>
      <c r="S101" s="3" t="inlineStr"/>
    </row>
    <row r="102">
      <c r="A102" s="2" t="inlineStr">
        <is>
          <t>HT-011</t>
        </is>
      </c>
      <c r="B102" s="2" t="inlineStr">
        <is>
          <t>合同管理</t>
        </is>
      </c>
      <c r="C102" s="3" t="inlineStr">
        <is>
          <t>合同金额-0.01 元（边界）</t>
        </is>
      </c>
      <c r="D102" s="3" t="inlineStr">
        <is>
          <t>已用管理岗账号登录</t>
        </is>
      </c>
      <c r="E102" s="3" t="inlineStr">
        <is>
          <t>1. 新增合同，金额填 0.01
2. 保存并查看详情显示</t>
        </is>
      </c>
      <c r="F102" s="3" t="inlineStr">
        <is>
          <t>金额：0.01</t>
        </is>
      </c>
      <c r="G102" s="3" t="inlineStr">
        <is>
          <t>保存成功；金额按 0.01 存储与显示，不出现精度丢失或被舍入为 0</t>
        </is>
      </c>
      <c r="H102" s="2" t="inlineStr">
        <is>
          <t>中</t>
        </is>
      </c>
      <c r="I102" s="3" t="inlineStr">
        <is>
          <t>账号 fengcailing/&lt;OA_USER_PWD&gt;</t>
        </is>
      </c>
      <c r="J102" s="3" t="inlineStr">
        <is>
          <t>测试计划 §4.2 边界值（合同金额 0.01 元）</t>
        </is>
      </c>
      <c r="K102" s="8" t="inlineStr">
        <is>
          <t>通过</t>
        </is>
      </c>
      <c r="L102" s="3" t="inlineStr">
        <is>
          <t>【fengcailing】POST /contract/contract/add（金额 0.01）
保存成功 code=0；oa_contract.cost=「0.01」（decimal(15,2) 原样存储，未被舍入为 0、无精度丢失）</t>
        </is>
      </c>
      <c r="M102" s="3" t="inlineStr"/>
      <c r="N102" s="3" t="inlineStr"/>
      <c r="O102" s="3" t="inlineStr">
        <is>
          <t>来源：case_results_ht.json</t>
        </is>
      </c>
      <c r="P102" s="3" t="inlineStr"/>
      <c r="Q102" s="8" t="inlineStr">
        <is>
          <t>本次实测</t>
        </is>
      </c>
      <c r="R102" s="3" t="inlineStr">
        <is>
          <t>边界值：decimal(15,2) 的最小非零值</t>
        </is>
      </c>
      <c r="S102" s="3" t="inlineStr"/>
    </row>
    <row r="103">
      <c r="A103" s="2" t="inlineStr">
        <is>
          <t>HT-012</t>
        </is>
      </c>
      <c r="B103" s="2" t="inlineStr">
        <is>
          <t>合同管理</t>
        </is>
      </c>
      <c r="C103" s="3" t="inlineStr">
        <is>
          <t>合同金额-负数</t>
        </is>
      </c>
      <c r="D103" s="3" t="inlineStr">
        <is>
          <t>已用管理岗账号登录</t>
        </is>
      </c>
      <c r="E103" s="3" t="inlineStr">
        <is>
          <t>1. 新增合同，金额填 -100
2. 保存</t>
        </is>
      </c>
      <c r="F103" s="3" t="inlineStr">
        <is>
          <t>金额：-100</t>
        </is>
      </c>
      <c r="G103" s="3" t="inlineStr">
        <is>
          <t>保存被拒绝并提示金额必须大于 0；或明确记录系统是否允许负数（若允许则属校验缺失）</t>
        </is>
      </c>
      <c r="H103" s="2" t="inlineStr">
        <is>
          <t>高</t>
        </is>
      </c>
      <c r="I103" s="3" t="inlineStr">
        <is>
          <t>账号 fengcailing/&lt;OA_USER_PWD&gt;</t>
        </is>
      </c>
      <c r="J103" s="3" t="inlineStr">
        <is>
          <t>测试计划 §4.2 异常用例、§1 金额校验</t>
        </is>
      </c>
      <c r="K103" s="8" t="inlineStr">
        <is>
          <t>失败</t>
        </is>
      </c>
      <c r="L103" s="3" t="inlineStr">
        <is>
          <t>【fengcailing】POST /contract/contract/add（金额 -100）
负数金额被接受：code=0，oa_contract id=1102 cost=-100.00 —— 服务端对 cost 只做 is_numeric（ContractValidate 的 checkNumer），没有 &gt;0 的范围校验，库中出现负金额合同</t>
        </is>
      </c>
      <c r="M103" s="3" t="inlineStr"/>
      <c r="N103" s="3" t="inlineStr">
        <is>
          <t>BUG-17 合同金额与税点缺少服务端范围校验（一般 C）</t>
        </is>
      </c>
      <c r="O103" s="3" t="inlineStr">
        <is>
          <t>证据-12｜来源：case_results_ht.json</t>
        </is>
      </c>
      <c r="P103" s="3" t="inlineStr"/>
      <c r="Q103" s="8" t="inlineStr">
        <is>
          <t>本次实测</t>
        </is>
      </c>
      <c r="R103" s="3" t="inlineStr">
        <is>
          <t>用例预期写明「或明确记录系统是否允许负数（若允许则属校验缺失）」——实测允许入库，按校验缺失记失败</t>
        </is>
      </c>
      <c r="S103" s="3" t="inlineStr"/>
    </row>
    <row r="104">
      <c r="A104" s="2" t="inlineStr">
        <is>
          <t>HT-013</t>
        </is>
      </c>
      <c r="B104" s="2" t="inlineStr">
        <is>
          <t>合同管理</t>
        </is>
      </c>
      <c r="C104" s="3" t="inlineStr">
        <is>
          <t>合同金额-超大值（边界）</t>
        </is>
      </c>
      <c r="D104" s="3" t="inlineStr">
        <is>
          <t>已用管理岗账号登录</t>
        </is>
      </c>
      <c r="E104" s="3" t="inlineStr">
        <is>
          <t>1. 新增合同，金额填一个超过字段精度上限的值
2. 保存并查看存库结果</t>
        </is>
      </c>
      <c r="F104" s="3" t="inlineStr">
        <is>
          <t>金额：99999999999999.99</t>
        </is>
      </c>
      <c r="G104" s="3" t="inlineStr">
        <is>
          <t>系统按规则处理（拒绝或按字段精度截断）；不出现 500、不出现金额显示错乱</t>
        </is>
      </c>
      <c r="H104" s="2" t="inlineStr">
        <is>
          <t>中</t>
        </is>
      </c>
      <c r="I104" s="3" t="inlineStr">
        <is>
          <t>账号 fengcailing/&lt;OA_USER_PWD&gt;</t>
        </is>
      </c>
      <c r="J104" s="3" t="inlineStr">
        <is>
          <t>测试计划 §4.2 边界值</t>
        </is>
      </c>
      <c r="K104" s="8" t="inlineStr">
        <is>
          <t>通过</t>
        </is>
      </c>
      <c r="L104" s="3" t="inlineStr">
        <is>
          <t>【fengcailing】POST /contract/contract/add（金额 99999999999999.99，超字段精度上限）
系统拒绝该值：code=1 msg=「操作失败，原因：SQLSTATE[22003]: Numeric value out of range: 1264 Out of range value for column 'cost' at row 1」；未写入错乱数据，HTTP 未 500</t>
        </is>
      </c>
      <c r="M104" s="3" t="inlineStr"/>
      <c r="N104" s="3" t="inlineStr"/>
      <c r="O104" s="3" t="inlineStr">
        <is>
          <t>来源：case_results_ht.json</t>
        </is>
      </c>
      <c r="P104" s="3" t="inlineStr">
        <is>
          <t>拒绝时把数据库原始报错整段抛给用户：msg 含「SQLSTATE[22003]: Numeric value out of range: 1264 Out of range value for column 'cost' at row 1」——属错误信息外泄，与 BUG-12（缺 isset/取值判断导致异常放大）同族，不另开编号</t>
        </is>
      </c>
      <c r="Q104" s="8" t="inlineStr">
        <is>
          <t>本次实测</t>
        </is>
      </c>
      <c r="R104" s="3" t="inlineStr">
        <is>
          <t>用例允许「拒绝或按字段精度截断」，实测为拒绝（cost 为 decimal(15,2)，整数位上限 13 位，该值 14 位），判通过</t>
        </is>
      </c>
      <c r="S104" s="3" t="inlineStr"/>
    </row>
    <row r="105">
      <c r="A105" s="2" t="inlineStr">
        <is>
          <t>HT-014</t>
        </is>
      </c>
      <c r="B105" s="2" t="inlineStr">
        <is>
          <t>合同管理</t>
        </is>
      </c>
      <c r="C105" s="3" t="inlineStr">
        <is>
          <t>合同金额-非数字输入</t>
        </is>
      </c>
      <c r="D105" s="3" t="inlineStr">
        <is>
          <t>已用管理岗账号登录</t>
        </is>
      </c>
      <c r="E105" s="3" t="inlineStr">
        <is>
          <t>1. 新增合同，金额填字母或特殊字符
2. 保存</t>
        </is>
      </c>
      <c r="F105" s="3" t="inlineStr">
        <is>
          <t>金额：abc 或 --</t>
        </is>
      </c>
      <c r="G105" s="3" t="inlineStr">
        <is>
          <t>保存被拒绝并提示金额格式不正确；不出现 500 或写入脏数据</t>
        </is>
      </c>
      <c r="H105" s="2" t="inlineStr">
        <is>
          <t>中</t>
        </is>
      </c>
      <c r="I105" s="3" t="inlineStr">
        <is>
          <t>账号 fengcailing/&lt;OA_USER_PWD&gt;</t>
        </is>
      </c>
      <c r="J105" s="3" t="inlineStr">
        <is>
          <t>测试计划 §4.2 异常用例</t>
        </is>
      </c>
      <c r="K105" s="8" t="inlineStr">
        <is>
          <t>通过</t>
        </is>
      </c>
      <c r="L105" s="3" t="inlineStr">
        <is>
          <t>【fengcailing】POST /contract/contract/add（金额 abc）
非数字金额被拒绝 code=1 msg=「合同金额只能是数字」，命中 checkNumer 规则（is_numeric）；未生成脏数据</t>
        </is>
      </c>
      <c r="M105" s="3" t="inlineStr"/>
      <c r="N105" s="3" t="inlineStr"/>
      <c r="O105" s="3" t="inlineStr">
        <is>
          <t>来源：case_results_ht.json</t>
        </is>
      </c>
      <c r="P105" s="3" t="inlineStr"/>
      <c r="Q105" s="8" t="inlineStr">
        <is>
          <t>本次实测</t>
        </is>
      </c>
      <c r="R105" s="3" t="inlineStr"/>
      <c r="S105" s="3" t="inlineStr"/>
    </row>
    <row r="106">
      <c r="A106" s="2" t="inlineStr">
        <is>
          <t>HT-015</t>
        </is>
      </c>
      <c r="B106" s="2" t="inlineStr">
        <is>
          <t>合同管理</t>
        </is>
      </c>
      <c r="C106" s="3" t="inlineStr">
        <is>
          <t>合同日期-结束日期早于开始日期</t>
        </is>
      </c>
      <c r="D106" s="3" t="inlineStr">
        <is>
          <t>已用管理岗账号登录</t>
        </is>
      </c>
      <c r="E106" s="3" t="inlineStr">
        <is>
          <t>1. 新增合同，开始日期填较晚的日期、结束日期填较早的日期
2. 保存</t>
        </is>
      </c>
      <c r="F106" s="3" t="inlineStr">
        <is>
          <t>开始：次年 12-31；结束：当年 01-01</t>
        </is>
      </c>
      <c r="G106" s="3" t="inlineStr">
        <is>
          <t>保存被拒绝并提示日期区间不合法；不生成合同</t>
        </is>
      </c>
      <c r="H106" s="2" t="inlineStr">
        <is>
          <t>高</t>
        </is>
      </c>
      <c r="I106" s="3" t="inlineStr">
        <is>
          <t>账号 fengcailing/&lt;OA_USER_PWD&gt;</t>
        </is>
      </c>
      <c r="J106" s="3" t="inlineStr">
        <is>
          <t>测试计划 §4.2 异常用例、§1 日期校验</t>
        </is>
      </c>
      <c r="K106" s="8" t="inlineStr">
        <is>
          <t>通过</t>
        </is>
      </c>
      <c r="L106" s="3" t="inlineStr">
        <is>
          <t>【fengcailing】POST /contract/contract/add（开始日期=次年、结束日期=当年）
被拒绝 code=1 msg=「结束时间需要大于开始时间」；行数 30→30，未生成合同。该判断在 Contract::add 内联完成，不在 Validate 规则表里</t>
        </is>
      </c>
      <c r="M106" s="3" t="inlineStr"/>
      <c r="N106" s="3" t="inlineStr"/>
      <c r="O106" s="3" t="inlineStr">
        <is>
          <t>来源：case_results_ht.json</t>
        </is>
      </c>
      <c r="P106" s="3" t="inlineStr"/>
      <c r="Q106" s="8" t="inlineStr">
        <is>
          <t>本次实测</t>
        </is>
      </c>
      <c r="R106" s="3" t="inlineStr"/>
      <c r="S106" s="3" t="inlineStr"/>
    </row>
    <row r="107">
      <c r="A107" s="2" t="inlineStr">
        <is>
          <t>HT-016</t>
        </is>
      </c>
      <c r="B107" s="2" t="inlineStr">
        <is>
          <t>合同管理</t>
        </is>
      </c>
      <c r="C107" s="3" t="inlineStr">
        <is>
          <t>合同税点-0%（边界）</t>
        </is>
      </c>
      <c r="D107" s="3" t="inlineStr">
        <is>
          <t>已用管理岗账号登录</t>
        </is>
      </c>
      <c r="E107" s="3" t="inlineStr">
        <is>
          <t>1. 新增合同，税点填 0
2. 保存并核对</t>
        </is>
      </c>
      <c r="F107" s="3" t="inlineStr">
        <is>
          <t>税点：0</t>
        </is>
      </c>
      <c r="G107" s="3" t="inlineStr">
        <is>
          <t>保存成功；税点按 0 存储，不出现空值或异常</t>
        </is>
      </c>
      <c r="H107" s="2" t="inlineStr">
        <is>
          <t>中</t>
        </is>
      </c>
      <c r="I107" s="3" t="inlineStr">
        <is>
          <t>账号 fengcailing/&lt;OA_USER_PWD&gt;</t>
        </is>
      </c>
      <c r="J107" s="3" t="inlineStr">
        <is>
          <t>测试计划 §4.2 边界值、§1 税点校验</t>
        </is>
      </c>
      <c r="K107" s="8" t="inlineStr">
        <is>
          <t>通过</t>
        </is>
      </c>
      <c r="L107" s="3" t="inlineStr">
        <is>
          <t>【fengcailing】POST /contract/contract/add（is_tax=1, 税点 0）
保存成功 code=0；oa_contract.tax=「0.00」、is_tax=1 —— 0 值被正常存储，未被当作「未填」清空或置空</t>
        </is>
      </c>
      <c r="M107" s="3" t="inlineStr"/>
      <c r="N107" s="3" t="inlineStr"/>
      <c r="O107" s="3" t="inlineStr">
        <is>
          <t>来源：case_results_ht.json</t>
        </is>
      </c>
      <c r="P107" s="3" t="inlineStr"/>
      <c r="Q107" s="8" t="inlineStr">
        <is>
          <t>本次实测</t>
        </is>
      </c>
      <c r="R107" s="3" t="inlineStr"/>
      <c r="S107" s="3" t="inlineStr"/>
    </row>
    <row r="108">
      <c r="A108" s="2" t="inlineStr">
        <is>
          <t>HT-017</t>
        </is>
      </c>
      <c r="B108" s="2" t="inlineStr">
        <is>
          <t>合同管理</t>
        </is>
      </c>
      <c r="C108" s="3" t="inlineStr">
        <is>
          <t>合同税点-100%（边界）</t>
        </is>
      </c>
      <c r="D108" s="3" t="inlineStr">
        <is>
          <t>已用管理岗账号登录</t>
        </is>
      </c>
      <c r="E108" s="3" t="inlineStr">
        <is>
          <t>1. 新增合同，税点填 100
2. 保存并核对</t>
        </is>
      </c>
      <c r="F108" s="3" t="inlineStr">
        <is>
          <t>税点：100</t>
        </is>
      </c>
      <c r="G108" s="3" t="inlineStr">
        <is>
          <t>保存成功；税点按 100 存储与显示</t>
        </is>
      </c>
      <c r="H108" s="2" t="inlineStr">
        <is>
          <t>中</t>
        </is>
      </c>
      <c r="I108" s="3" t="inlineStr">
        <is>
          <t>账号 fengcailing/&lt;OA_USER_PWD&gt;</t>
        </is>
      </c>
      <c r="J108" s="3" t="inlineStr">
        <is>
          <t>测试计划 §4.2 边界值</t>
        </is>
      </c>
      <c r="K108" s="8" t="inlineStr">
        <is>
          <t>通过</t>
        </is>
      </c>
      <c r="L108" s="3" t="inlineStr">
        <is>
          <t>【fengcailing】POST /contract/contract/add（is_tax=1, 税点 100）
保存成功 code=0；oa_contract.tax=「100.00」（按 100 存储与显示，未被截断或拒绝）</t>
        </is>
      </c>
      <c r="M108" s="3" t="inlineStr"/>
      <c r="N108" s="3" t="inlineStr"/>
      <c r="O108" s="3" t="inlineStr">
        <is>
          <t>来源：case_results_ht.json</t>
        </is>
      </c>
      <c r="P108" s="3" t="inlineStr"/>
      <c r="Q108" s="8" t="inlineStr">
        <is>
          <t>本次实测</t>
        </is>
      </c>
      <c r="R108" s="3" t="inlineStr"/>
      <c r="S108" s="3" t="inlineStr"/>
    </row>
    <row r="109">
      <c r="A109" s="2" t="inlineStr">
        <is>
          <t>HT-018</t>
        </is>
      </c>
      <c r="B109" s="2" t="inlineStr">
        <is>
          <t>合同管理</t>
        </is>
      </c>
      <c r="C109" s="3" t="inlineStr">
        <is>
          <t>合同税点-超出 0~100 范围</t>
        </is>
      </c>
      <c r="D109" s="3" t="inlineStr">
        <is>
          <t>已用管理岗账号登录</t>
        </is>
      </c>
      <c r="E109" s="3" t="inlineStr">
        <is>
          <t>1. 新增合同，税点分别填 -1 与 101
2. 保存</t>
        </is>
      </c>
      <c r="F109" s="3" t="inlineStr">
        <is>
          <t>税点：-1；税点：101</t>
        </is>
      </c>
      <c r="G109" s="3" t="inlineStr">
        <is>
          <t>保存被拒绝并提示税点取值范围；或明确记录系统未做范围校验（属校验缺失）</t>
        </is>
      </c>
      <c r="H109" s="2" t="inlineStr">
        <is>
          <t>高</t>
        </is>
      </c>
      <c r="I109" s="3" t="inlineStr">
        <is>
          <t>账号 fengcailing/&lt;OA_USER_PWD&gt;</t>
        </is>
      </c>
      <c r="J109" s="3" t="inlineStr">
        <is>
          <t>测试计划 §4.2 异常用例、§1 税点校验</t>
        </is>
      </c>
      <c r="K109" s="8" t="inlineStr">
        <is>
          <t>失败</t>
        </is>
      </c>
      <c r="L109" s="3" t="inlineStr">
        <is>
          <t>【fengcailing】POST /contract/contract/add（is_tax=1, 税点 -5 与 101）
越界税点被接受：税点 -5.00 → 保存成功，id=1105 库中 tax=-5.00；税点 101.00 → 保存成功，id=1106 库中 tax=101.00 —— ContractValidate 的规则表里根本没有 tax 这一项（只有 code/name/cost/id），-5% 与 101% 都能直接入库并参与后续金额计算</t>
        </is>
      </c>
      <c r="M109" s="3" t="inlineStr"/>
      <c r="N109" s="3" t="inlineStr">
        <is>
          <t>BUG-17 合同金额与税点缺少服务端范围校验（一般 C）</t>
        </is>
      </c>
      <c r="O109" s="3" t="inlineStr">
        <is>
          <t>证据-12｜来源：case_results_ht.json</t>
        </is>
      </c>
      <c r="P109" s="3" t="inlineStr"/>
      <c r="Q109" s="8" t="inlineStr">
        <is>
          <t>本次实测</t>
        </is>
      </c>
      <c r="R109" s="3" t="inlineStr">
        <is>
          <t>用例预期写明「或明确记录系统未做范围校验（属校验缺失）」——实测未做任何范围校验，按校验缺失记失败</t>
        </is>
      </c>
      <c r="S109" s="3" t="inlineStr"/>
    </row>
    <row r="110">
      <c r="A110" s="2" t="inlineStr">
        <is>
          <t>HT-019</t>
        </is>
      </c>
      <c r="B110" s="2" t="inlineStr">
        <is>
          <t>合同管理</t>
        </is>
      </c>
      <c r="C110" s="3" t="inlineStr">
        <is>
          <t>合同编号-自动生成规则</t>
        </is>
      </c>
      <c r="D110" s="3" t="inlineStr">
        <is>
          <t>已用管理岗账号登录</t>
        </is>
      </c>
      <c r="E110" s="3" t="inlineStr">
        <is>
          <t>1. 连续新增 2 条合同
2. 记录系统生成的合同编号
3. 核对编号格式与递增规律</t>
        </is>
      </c>
      <c r="F110" s="3" t="inlineStr">
        <is>
          <t>连续新增 2 条</t>
        </is>
      </c>
      <c r="G110" s="3" t="inlineStr">
        <is>
          <t>系统按既定规则自动生成编号，格式统一、连续或按规则递增；不出现空编号</t>
        </is>
      </c>
      <c r="H110" s="2" t="inlineStr">
        <is>
          <t>中</t>
        </is>
      </c>
      <c r="I110" s="3" t="inlineStr">
        <is>
          <t>账号 fengcailing/&lt;OA_USER_PWD&gt;</t>
        </is>
      </c>
      <c r="J110" s="3" t="inlineStr">
        <is>
          <t>测试计划 §1 合同编号规则与唯一性</t>
        </is>
      </c>
      <c r="K110" s="8" t="inlineStr">
        <is>
          <t>通过</t>
        </is>
      </c>
      <c r="L110" s="3" t="inlineStr">
        <is>
          <t>【fengcailing】GET /api/index/get_codeno?prefix=S（连续 2 次）→ POST contract/add
两次生成的编号 ['S202609190039259', 'S202609190039251']（格式校验 [True, True]）；格式统一＝prefix + YmdHis(14 位) + rand(1,9)(1 位)，共 15 位（规则见 app/api/controller/Index.php:305 `$prefix.date('YmdHis').rand(1,9)`）；无空编号；以该编号建单成功 code=0（编号=HT-CASE-CO014）</t>
        </is>
      </c>
      <c r="M110" s="3" t="inlineStr"/>
      <c r="N110" s="3" t="inlineStr"/>
      <c r="O110" s="3" t="inlineStr">
        <is>
          <t>来源：case_results_ht.json</t>
        </is>
      </c>
      <c r="P110" s="3" t="inlineStr">
        <is>
          <t>编号末位是 rand(1,9) 的随机数，同一秒内两次调用不保证递增（实测先 …128 后 …126），即「连续或按规则递增」只在时间戳部分成立；同一秒并发建单有约 1/9 概率撞号，撞号时保存被 checkOne 以「同样的合同编码已经存在」拒绝，需人工重试。本次按「格式统一 + 规则稳定 + 无空编号」判通过；若评审按字面严格要求递增，可改判失败 —— 判定口径写在此处，供复核</t>
        </is>
      </c>
      <c r="Q110" s="8" t="inlineStr">
        <is>
          <t>本次实测</t>
        </is>
      </c>
      <c r="R110" s="3" t="inlineStr">
        <is>
          <t>编号由前端调 /api/index/get_codeno 生成后随表单提交；服务端对 code 有 require|checkOne（必填 + 唯一）双重约束</t>
        </is>
      </c>
      <c r="S110" s="3" t="inlineStr"/>
    </row>
    <row r="111">
      <c r="A111" s="2" t="inlineStr">
        <is>
          <t>HT-020</t>
        </is>
      </c>
      <c r="B111" s="2" t="inlineStr">
        <is>
          <t>合同管理</t>
        </is>
      </c>
      <c r="C111" s="3" t="inlineStr">
        <is>
          <t>合同编号-唯一性校验</t>
        </is>
      </c>
      <c r="D111" s="3" t="inlineStr">
        <is>
          <t>库中已存在某合同编号</t>
        </is>
      </c>
      <c r="E111" s="3" t="inlineStr">
        <is>
          <t>1. 新增合同并手工填写一个已存在的编号
2. 保存</t>
        </is>
      </c>
      <c r="F111" s="3" t="inlineStr">
        <is>
          <t>编号：与现有合同相同的编号</t>
        </is>
      </c>
      <c r="G111" s="3" t="inlineStr">
        <is>
          <t>保存被拒绝并提示编号已存在；库中不出现重复编号</t>
        </is>
      </c>
      <c r="H111" s="2" t="inlineStr">
        <is>
          <t>高</t>
        </is>
      </c>
      <c r="I111" s="3" t="inlineStr">
        <is>
          <t>账号 fengcailing/&lt;OA_USER_PWD&gt; + 现有合同编号 1 个</t>
        </is>
      </c>
      <c r="J111" s="3" t="inlineStr">
        <is>
          <t>测试计划 §1 合同编号规则与唯一性</t>
        </is>
      </c>
      <c r="K111" s="8" t="inlineStr">
        <is>
          <t>通过</t>
        </is>
      </c>
      <c r="L111" s="3" t="inlineStr">
        <is>
          <t>【fengcailing】POST /contract/contract/add（手工填写已存在的编号 HT-CASE-CO015）
被拒绝 code=1 msg=「同样的合同编码已经存在」；行数 36→36；该编号在库中仍只有 1 条，无重复编号</t>
        </is>
      </c>
      <c r="M111" s="3" t="inlineStr"/>
      <c r="N111" s="3" t="inlineStr"/>
      <c r="O111" s="3" t="inlineStr">
        <is>
          <t>来源：case_results_ht.json</t>
        </is>
      </c>
      <c r="P111" s="3" t="inlineStr"/>
      <c r="Q111" s="8" t="inlineStr">
        <is>
          <t>本次实测</t>
        </is>
      </c>
      <c r="R111" s="3" t="inlineStr">
        <is>
          <t>checkOne 的判重 SQL 带 delete_time=0 且排除自身 id</t>
        </is>
      </c>
      <c r="S111" s="3" t="inlineStr"/>
    </row>
    <row r="112">
      <c r="A112" s="2" t="inlineStr">
        <is>
          <t>HT-021</t>
        </is>
      </c>
      <c r="B112" s="2" t="inlineStr">
        <is>
          <t>合同管理</t>
        </is>
      </c>
      <c r="C112" s="3" t="inlineStr">
        <is>
          <t>合同-提交审批</t>
        </is>
      </c>
      <c r="D112" s="3" t="inlineStr">
        <is>
          <t>存在一条草稿状态的合同</t>
        </is>
      </c>
      <c r="E112" s="3" t="inlineStr">
        <is>
          <t>1. 打开该合同
2. 点击提交审批
3. 查看合同状态与我申请的列表</t>
        </is>
      </c>
      <c r="F112" s="3" t="inlineStr">
        <is>
          <t>提交目标：草稿状态合同 1 条</t>
        </is>
      </c>
      <c r="G112" s="3" t="inlineStr">
        <is>
          <t>提交成功；合同状态变为审批中；在审批模块生成对应待审批单据</t>
        </is>
      </c>
      <c r="H112" s="2" t="inlineStr">
        <is>
          <t>高</t>
        </is>
      </c>
      <c r="I112" s="3" t="inlineStr">
        <is>
          <t>账号 fengcailing/&lt;OA_USER_PWD&gt; + 草稿合同 1 条</t>
        </is>
      </c>
      <c r="J112" s="3" t="inlineStr">
        <is>
          <t>测试计划 §1 合同-审批联动；§4.3 #29（管理岗 ✅）</t>
        </is>
      </c>
      <c r="K112" s="8" t="inlineStr">
        <is>
          <t>通过</t>
        </is>
      </c>
      <c r="L112" s="3" t="inlineStr">
        <is>
          <t>【fengcailing】POST /api/check/submit_check（审批人=admin，flow_id=11）
提交 code=0；oa_contract.check_status 0（草稿）→ 1（审批中）；审批中心「待我审批」列表（共 12 条）中出现该合同（table_name=contract），审批单据已生成</t>
        </is>
      </c>
      <c r="M112" s="3" t="inlineStr"/>
      <c r="N112" s="3" t="inlineStr"/>
      <c r="O112" s="3" t="inlineStr">
        <is>
          <t>来源：case_results_ht.json</t>
        </is>
      </c>
      <c r="P112" s="3" t="inlineStr"/>
      <c r="Q112" s="8" t="inlineStr">
        <is>
          <t>本次实测</t>
        </is>
      </c>
      <c r="R112" s="3" t="inlineStr"/>
      <c r="S112" s="3" t="inlineStr"/>
    </row>
    <row r="113">
      <c r="A113" s="2" t="inlineStr">
        <is>
          <t>HT-022</t>
        </is>
      </c>
      <c r="B113" s="2" t="inlineStr">
        <is>
          <t>合同管理</t>
        </is>
      </c>
      <c r="C113" s="3" t="inlineStr">
        <is>
          <t>合同-审批通过后状态流转</t>
        </is>
      </c>
      <c r="D113" s="3" t="inlineStr">
        <is>
          <t>存在一条审批中的合同，当前账号为指定审批人</t>
        </is>
      </c>
      <c r="E113" s="3" t="inlineStr">
        <is>
          <t>1. 在待审批列表中通过该合同
2. 回到合同列表查看状态</t>
        </is>
      </c>
      <c r="F113" s="3" t="inlineStr">
        <is>
          <t>审批动作：通过</t>
        </is>
      </c>
      <c r="G113" s="3" t="inlineStr">
        <is>
          <t>合同状态变为已通过/待归档；审批结果正确回写到合同状态字段</t>
        </is>
      </c>
      <c r="H113" s="2" t="inlineStr">
        <is>
          <t>高</t>
        </is>
      </c>
      <c r="I113" s="3" t="inlineStr">
        <is>
          <t>账号 合同审批人 1 名 + 审批中合同 1 条</t>
        </is>
      </c>
      <c r="J113" s="3" t="inlineStr">
        <is>
          <t>测试计划 §1 合同-审批联动、§2 SQL 数据校验（合同状态字段）</t>
        </is>
      </c>
      <c r="K113" s="8" t="inlineStr">
        <is>
          <t>通过</t>
        </is>
      </c>
      <c r="L113" s="3" t="inlineStr">
        <is>
          <t>【admin】POST /api/check/flow_check check=1（审批人 admin）
审批 code=0；oa_contract.check_status=2（审批通过/待归档）；审批历史中该动作与意见「用例测试通过」可见</t>
        </is>
      </c>
      <c r="M113" s="3" t="inlineStr"/>
      <c r="N113" s="3" t="inlineStr"/>
      <c r="O113" s="3" t="inlineStr">
        <is>
          <t>来源：case_results_ht.json</t>
        </is>
      </c>
      <c r="P113" s="3" t="inlineStr"/>
      <c r="Q113" s="8" t="inlineStr">
        <is>
          <t>本次实测</t>
        </is>
      </c>
      <c r="R113" s="3" t="inlineStr"/>
      <c r="S113" s="3" t="inlineStr"/>
    </row>
    <row r="114">
      <c r="A114" s="2" t="inlineStr">
        <is>
          <t>HT-023</t>
        </is>
      </c>
      <c r="B114" s="2" t="inlineStr">
        <is>
          <t>合同管理</t>
        </is>
      </c>
      <c r="C114" s="3" t="inlineStr">
        <is>
          <t>合同-审批驳回后状态</t>
        </is>
      </c>
      <c r="D114" s="3" t="inlineStr">
        <is>
          <t>存在一条审批中的合同，当前账号为指定审批人</t>
        </is>
      </c>
      <c r="E114" s="3" t="inlineStr">
        <is>
          <t>1. 在待审批列表中驳回该合同并填写意见
2. 回到合同列表查看状态</t>
        </is>
      </c>
      <c r="F114" s="3" t="inlineStr">
        <is>
          <t>审批动作：驳回；意见：用例测试驳回</t>
        </is>
      </c>
      <c r="G114" s="3" t="inlineStr">
        <is>
          <t>合同状态变为已驳回；驳回意见可在合同详情中查看；合同可修改后重新提交</t>
        </is>
      </c>
      <c r="H114" s="2" t="inlineStr">
        <is>
          <t>高</t>
        </is>
      </c>
      <c r="I114" s="3" t="inlineStr">
        <is>
          <t>账号 合同审批人 1 名 + 审批中合同 1 条</t>
        </is>
      </c>
      <c r="J114" s="3" t="inlineStr">
        <is>
          <t>测试计划 §1 合同-审批联动、§4.2 状态流转</t>
        </is>
      </c>
      <c r="K114" s="8" t="inlineStr">
        <is>
          <t>通过</t>
        </is>
      </c>
      <c r="L114" s="3" t="inlineStr">
        <is>
          <t>【admin】POST flow_check check=2（驳回）→ 申请人改单 → 重新提交
驳回 code=0；check_status=3（已驳回）；申请人视角审批历史可见「审核拒绝 / 用例测试驳回」=True；驳回后改单 code=0；重新提交 code=0，check_status 3→1</t>
        </is>
      </c>
      <c r="M114" s="3" t="inlineStr"/>
      <c r="N114" s="3" t="inlineStr"/>
      <c r="O114" s="3" t="inlineStr">
        <is>
          <t>来源：case_results_ht.json</t>
        </is>
      </c>
      <c r="P114" s="3" t="inlineStr"/>
      <c r="Q114" s="8" t="inlineStr">
        <is>
          <t>本次实测</t>
        </is>
      </c>
      <c r="R114" s="3" t="inlineStr"/>
      <c r="S114" s="3" t="inlineStr"/>
    </row>
    <row r="115">
      <c r="A115" s="2" t="inlineStr">
        <is>
          <t>HT-024</t>
        </is>
      </c>
      <c r="B115" s="2" t="inlineStr">
        <is>
          <t>合同管理</t>
        </is>
      </c>
      <c r="C115" s="3" t="inlineStr">
        <is>
          <t>合同-归档操作</t>
        </is>
      </c>
      <c r="D115" s="3" t="inlineStr">
        <is>
          <t>存在一条已通过审批的合同</t>
        </is>
      </c>
      <c r="E115" s="3" t="inlineStr">
        <is>
          <t>1. 对该合同执行归档
2. 查看状态</t>
        </is>
      </c>
      <c r="F115" s="3" t="inlineStr">
        <is>
          <t>归档目标：已通过合同 1 条</t>
        </is>
      </c>
      <c r="G115" s="3" t="inlineStr">
        <is>
          <t>归档成功；状态变为已归档；归档时间被记录</t>
        </is>
      </c>
      <c r="H115" s="2" t="inlineStr">
        <is>
          <t>高</t>
        </is>
      </c>
      <c r="I115" s="3" t="inlineStr">
        <is>
          <t>账号 fengcailing/&lt;OA_USER_PWD&gt; + 已通过合同 1 条</t>
        </is>
      </c>
      <c r="J115" s="3" t="inlineStr">
        <is>
          <t>测试计划 §4.3 #27（管理岗 ✅）、§1 归档状态流转</t>
        </is>
      </c>
      <c r="K115" s="8" t="inlineStr">
        <is>
          <t>通过</t>
        </is>
      </c>
      <c r="L115" s="3" t="inlineStr">
        <is>
          <t>【admin】POST /contract/api/contract_archive（已审批通过的合同，操作人=合同管理员 admin）
归档 code=0 msg=「操作成功，合同已转入到归档合同列表」；archive_time 0→1789749570；archive_uid=1（操作人）；已从主列表转出并出现在归档合同列表；check_status 保持 2</t>
        </is>
      </c>
      <c r="M115" s="3" t="inlineStr"/>
      <c r="N115" s="3" t="inlineStr"/>
      <c r="O115" s="3" t="inlineStr">
        <is>
          <t>来源：case_results_ht.json</t>
        </is>
      </c>
      <c r="P115" s="3" t="inlineStr">
        <is>
          <t>归档入口只对合同管理员渲染：view.html 的「确认归档」按钮包在 {if ($auth == 1) AND ($detail.check_status == 2)} 内，而 $auth = isAuth(uid,'contract_admin','conf_1')。实测同一张已通过合同：管理岗 fengcailing 的详情页不出现该按钮（True），超管 admin 出现（True）。本实例 oa_data_auth.contract_admin.conf_1 为空，且 isAuth 对 uid==1 短路返回 1—— 所以只有超管能走界面归档，用例原文假设的「管理岗可归档」在界面上不成立。属数据权限开关未配置的实例状态（系统本可给任意账号授权），故按流程用超管执行归档并在此留档；接口侧则对任何账号都放行，见 BUG-02 同族</t>
        </is>
      </c>
      <c r="Q115" s="8" t="inlineStr">
        <is>
          <t>本次实测</t>
        </is>
      </c>
      <c r="R115" s="3" t="inlineStr">
        <is>
          <t>本系统「已归档」不是 check_status 的取值，而由 archive_time&gt;0 表示（oa_contract 无 archive_status 列）；主列表以 archive_time=0 过滤</t>
        </is>
      </c>
      <c r="S115" s="3" t="inlineStr"/>
    </row>
    <row r="116">
      <c r="A116" s="2" t="inlineStr">
        <is>
          <t>HT-025</t>
        </is>
      </c>
      <c r="B116" s="2" t="inlineStr">
        <is>
          <t>合同管理</t>
        </is>
      </c>
      <c r="C116" s="3" t="inlineStr">
        <is>
          <t>合同-归档后不可编辑</t>
        </is>
      </c>
      <c r="D116" s="3" t="inlineStr">
        <is>
          <t>存在一条已归档的合同</t>
        </is>
      </c>
      <c r="E116" s="3" t="inlineStr">
        <is>
          <t>1. 打开该合同
2. 尝试编辑并保存
3. 观察响应</t>
        </is>
      </c>
      <c r="F116" s="3" t="inlineStr">
        <is>
          <t>编辑目标：已归档合同</t>
        </is>
      </c>
      <c r="G116" s="3" t="inlineStr">
        <is>
          <t>编辑被拒绝或编辑入口不可用；已归档合同的关键字段不被改写</t>
        </is>
      </c>
      <c r="H116" s="2" t="inlineStr">
        <is>
          <t>高</t>
        </is>
      </c>
      <c r="I116" s="3" t="inlineStr">
        <is>
          <t>账号 fengcailing/&lt;OA_USER_PWD&gt; + 已归档合同 1 条</t>
        </is>
      </c>
      <c r="J116" s="3" t="inlineStr">
        <is>
          <t>测试计划 §1 归档状态流转</t>
        </is>
      </c>
      <c r="K116" s="8" t="inlineStr">
        <is>
          <t>失败</t>
        </is>
      </c>
      <c r="L116" s="3" t="inlineStr">
        <is>
          <t>【fengcailing】GET /contract/contract/add?id=N（编辑页）→ POST /contract/contract/add（scene=edit）
编辑页确实被拦（未返回可编辑表单，HTTP 500；但页面不是预期的 403 提示页，而是框架通用错误页「错误 😔错误～」，「当前状态不支持编辑」字样=False），然而写接口没拦：code=0 msg=「操作成功」，oa_contract 的关键字段已被改写为「【用例数据】 HT-025-试图改写已归档 / 1.00」（原「【用例数据】 HT CO018 / 9000.00」）—— 状态校验只做在「打开表单」这一步（Contract.php:393 的 GET 分支），isAjax 的写入分支（同文件 347~378 行）对 check_status 不做任何判断</t>
        </is>
      </c>
      <c r="M116" s="3" t="inlineStr"/>
      <c r="N116" s="3" t="inlineStr">
        <is>
          <t>BUG-18 合同状态机只在界面层校验（一般 C）</t>
        </is>
      </c>
      <c r="O116" s="3" t="inlineStr">
        <is>
          <t>证据-13｜来源：case_results_ht.json</t>
        </is>
      </c>
      <c r="P116" s="3" t="inlineStr"/>
      <c r="Q116" s="8" t="inlineStr">
        <is>
          <t>本次实测</t>
        </is>
      </c>
      <c r="R116" s="3" t="inlineStr">
        <is>
          <t>已归档合同的 check_status=2。界面上是双重拦住的：主列表的「编辑/删除」按钮只对 check_status ∈ {0,4} 渲染（datalist.html），编辑页再返回 403 —— 但这两道都在界面层，接口层没有</t>
        </is>
      </c>
      <c r="S116" s="3" t="inlineStr"/>
    </row>
    <row r="117">
      <c r="A117" s="2" t="inlineStr">
        <is>
          <t>HT-026</t>
        </is>
      </c>
      <c r="B117" s="2" t="inlineStr">
        <is>
          <t>合同管理</t>
        </is>
      </c>
      <c r="C117" s="3" t="inlineStr">
        <is>
          <t>合同-中止操作</t>
        </is>
      </c>
      <c r="D117" s="3" t="inlineStr">
        <is>
          <t>存在一条执行中的合同</t>
        </is>
      </c>
      <c r="E117" s="3" t="inlineStr">
        <is>
          <t>1. 对该合同执行中止
2. 查看状态</t>
        </is>
      </c>
      <c r="F117" s="3" t="inlineStr">
        <is>
          <t>中止目标：执行中合同 1 条</t>
        </is>
      </c>
      <c r="G117" s="3" t="inlineStr">
        <is>
          <t>中止成功；状态变为已中止；中止原因可记录</t>
        </is>
      </c>
      <c r="H117" s="2" t="inlineStr">
        <is>
          <t>高</t>
        </is>
      </c>
      <c r="I117" s="3" t="inlineStr">
        <is>
          <t>账号 admin/&lt;OA_ADMIN_PWD&gt; + 执行中合同 1 条</t>
        </is>
      </c>
      <c r="J117" s="3" t="inlineStr">
        <is>
          <t>测试计划 §4.3 #28（超管 ✅）、§1 中止状态流转</t>
        </is>
      </c>
      <c r="K117" s="8" t="inlineStr">
        <is>
          <t>通过</t>
        </is>
      </c>
      <c r="L117" s="3" t="inlineStr">
        <is>
          <t>【admin】POST /contract/api/contract_stop
中止 code=0 msg=「操作成功，合同已转入到中止合同列表」；stop_time=1789749571（已记录）、stop_uid=1（操作人本人）；中止原因已保存「【用例数据】中止理由」；已转入中止合同列表</t>
        </is>
      </c>
      <c r="M117" s="3" t="inlineStr"/>
      <c r="N117" s="3" t="inlineStr"/>
      <c r="O117" s="3" t="inlineStr">
        <is>
          <t>来源：case_results_ht.json</t>
        </is>
      </c>
      <c r="P117" s="3" t="inlineStr"/>
      <c r="Q117" s="8" t="inlineStr">
        <is>
          <t>本次实测</t>
        </is>
      </c>
      <c r="R117" s="3" t="inlineStr"/>
      <c r="S117" s="3" t="inlineStr"/>
    </row>
    <row r="118">
      <c r="A118" s="2" t="inlineStr">
        <is>
          <t>HT-027</t>
        </is>
      </c>
      <c r="B118" s="2" t="inlineStr">
        <is>
          <t>合同管理</t>
        </is>
      </c>
      <c r="C118" s="3" t="inlineStr">
        <is>
          <t>合同-作废操作</t>
        </is>
      </c>
      <c r="D118" s="3" t="inlineStr">
        <is>
          <t>存在一条可作废的合同</t>
        </is>
      </c>
      <c r="E118" s="3" t="inlineStr">
        <is>
          <t>1. 对该合同执行作废
2. 查看状态</t>
        </is>
      </c>
      <c r="F118" s="3" t="inlineStr">
        <is>
          <t>作废目标：可作废合同 1 条</t>
        </is>
      </c>
      <c r="G118" s="3" t="inlineStr">
        <is>
          <t>作废成功；状态变为已作废；作废后不再参与审批与归档</t>
        </is>
      </c>
      <c r="H118" s="2" t="inlineStr">
        <is>
          <t>高</t>
        </is>
      </c>
      <c r="I118" s="3" t="inlineStr">
        <is>
          <t>账号 admin/&lt;OA_ADMIN_PWD&gt; + 合同 1 条</t>
        </is>
      </c>
      <c r="J118" s="3" t="inlineStr">
        <is>
          <t>测试计划 §4.3 #28、§1 作废状态流转</t>
        </is>
      </c>
      <c r="K118" s="8" t="inlineStr">
        <is>
          <t>通过</t>
        </is>
      </c>
      <c r="L118" s="3" t="inlineStr">
        <is>
          <t>【admin】POST /contract/api/contract_tovoid → GET contract/view
作废 code=0；void_time=1789749572、void_uid=1（操作人本人）、作废理由已保存；已从主列表转出并出现在作废合同列表；详情页不再渲染审批/归档操作区</t>
        </is>
      </c>
      <c r="M118" s="3" t="inlineStr"/>
      <c r="N118" s="3" t="inlineStr"/>
      <c r="O118" s="3" t="inlineStr">
        <is>
          <t>来源：case_results_ht.json</t>
        </is>
      </c>
      <c r="P118" s="3" t="inlineStr"/>
      <c r="Q118" s="8" t="inlineStr">
        <is>
          <t>本次实测</t>
        </is>
      </c>
      <c r="R118" s="3" t="inlineStr">
        <is>
          <t>作废后不参与归档/审批由模板条件保证：view.html 的审批区包在 {if stop_time==0 AND void_time==0} 内</t>
        </is>
      </c>
      <c r="S118" s="3" t="inlineStr"/>
    </row>
    <row r="119">
      <c r="A119" s="2" t="inlineStr">
        <is>
          <t>HT-028</t>
        </is>
      </c>
      <c r="B119" s="2" t="inlineStr">
        <is>
          <t>合同管理</t>
        </is>
      </c>
      <c r="C119" s="3" t="inlineStr">
        <is>
          <t>合同-作废后不可提交审批</t>
        </is>
      </c>
      <c r="D119" s="3" t="inlineStr">
        <is>
          <t>存在一条已作废的合同</t>
        </is>
      </c>
      <c r="E119" s="3" t="inlineStr">
        <is>
          <t>1. 打开该合同
2. 尝试提交审批
3. 观察响应</t>
        </is>
      </c>
      <c r="F119" s="3" t="inlineStr">
        <is>
          <t>提交目标：已作废合同</t>
        </is>
      </c>
      <c r="G119" s="3" t="inlineStr">
        <is>
          <t>提交被拒绝；不生成审批单据</t>
        </is>
      </c>
      <c r="H119" s="2" t="inlineStr">
        <is>
          <t>中</t>
        </is>
      </c>
      <c r="I119" s="3" t="inlineStr">
        <is>
          <t>账号 fengcailing/&lt;OA_USER_PWD&gt; + 已作废合同 1 条</t>
        </is>
      </c>
      <c r="J119" s="3" t="inlineStr">
        <is>
          <t>测试计划 §1 作废状态流转、§4.2 状态流转</t>
        </is>
      </c>
      <c r="K119" s="8" t="inlineStr">
        <is>
          <t>失败</t>
        </is>
      </c>
      <c r="L119" s="3" t="inlineStr">
        <is>
          <t>【fengcailing】GET /contract/contract/view?id=1113 → POST /api/check/submit_check
界面确实没有提交审批入口（详情页审批容器 #checkBox 未渲染=True：模板把整个审批区包在 {if stop_time==0 AND void_time==0} 内），但接口没拦：直接 POST /api/check/submit_check 提交成功 code=0，check_status 0→1，审批历史 0→1 条，把一条已作废合同推进到了「审批中」</t>
        </is>
      </c>
      <c r="M119" s="3" t="inlineStr"/>
      <c r="N119" s="3" t="inlineStr">
        <is>
          <t>BUG-18 合同状态机只在界面层校验（一般 C）</t>
        </is>
      </c>
      <c r="O119" s="3" t="inlineStr">
        <is>
          <t>证据-13｜来源：case_results_ht.json</t>
        </is>
      </c>
      <c r="P119" s="3" t="inlineStr"/>
      <c r="Q119" s="8" t="inlineStr">
        <is>
          <t>本次实测</t>
        </is>
      </c>
      <c r="R119" s="3" t="inlineStr">
        <is>
          <t>「作废后不再参与审批」只由 view.html 的模板条件保证，submit_check 不校验单据的 void_time / stop_time</t>
        </is>
      </c>
      <c r="S119" s="3" t="inlineStr"/>
    </row>
    <row r="120">
      <c r="A120" s="2" t="inlineStr">
        <is>
          <t>HT-029</t>
        </is>
      </c>
      <c r="B120" s="2" t="inlineStr">
        <is>
          <t>合同管理</t>
        </is>
      </c>
      <c r="C120" s="3" t="inlineStr">
        <is>
          <t>合同-状态流转完整性（草稿→审批中→已归档）</t>
        </is>
      </c>
      <c r="D120" s="3" t="inlineStr">
        <is>
          <t>已用管理岗账号登录，具备合同与审批相关权限</t>
        </is>
      </c>
      <c r="E120" s="3" t="inlineStr">
        <is>
          <t>1. 新增合同（草稿）
2. 提交审批（审批中）
3. 审批通过
4. 归档
5. 每步查询 oa_contract 状态字段</t>
        </is>
      </c>
      <c r="F120" s="3" t="inlineStr">
        <is>
          <t>一条合同走完整链路</t>
        </is>
      </c>
      <c r="G120" s="3" t="inlineStr">
        <is>
          <t>四个阶段状态依次正确流转且与库中字段一致；任何一步不出现状态回退或卡死</t>
        </is>
      </c>
      <c r="H120" s="2" t="inlineStr">
        <is>
          <t>高</t>
        </is>
      </c>
      <c r="I120" s="3" t="inlineStr">
        <is>
          <t>账号 fengcailing + 合同审批人 1 名</t>
        </is>
      </c>
      <c r="J120" s="3" t="inlineStr">
        <is>
          <t>测试计划 §1 合同-审批联动全链路；§4.3 #29</t>
        </is>
      </c>
      <c r="K120" s="8" t="inlineStr">
        <is>
          <t>通过</t>
        </is>
      </c>
      <c r="L120" s="3" t="inlineStr">
        <is>
          <t>【fengcailing】建单 → submit_check → flow_check(通过) → contract_archive
四阶段 建单(草稿): check_status=0 / archive_time=0 → 提交审批(审批中): check_status=1 / archive_time=0 → 审批通过: check_status=2 / archive_time=0 → 归档: check_status=2 / archive_time=1789749576；各步 code=0/0/0；无状态回退、无卡死</t>
        </is>
      </c>
      <c r="M120" s="3" t="inlineStr"/>
      <c r="N120" s="3" t="inlineStr"/>
      <c r="O120" s="3" t="inlineStr">
        <is>
          <t>来源：case_results_ht.json</t>
        </is>
      </c>
      <c r="P120" s="3" t="inlineStr"/>
      <c r="Q120" s="8" t="inlineStr">
        <is>
          <t>本次实测</t>
        </is>
      </c>
      <c r="R120" s="3" t="inlineStr">
        <is>
          <t>每步都回读 oa_contract 状态字段并与库中核对；归档阶段 check_status 保持 2 （本系统以 archive_time 标记归档）；归档动作同 HT-024 由合同管理员执行</t>
        </is>
      </c>
      <c r="S120" s="3" t="inlineStr"/>
    </row>
    <row r="121">
      <c r="A121" s="2" t="inlineStr">
        <is>
          <t>HT-030</t>
        </is>
      </c>
      <c r="B121" s="2" t="inlineStr">
        <is>
          <t>合同管理</t>
        </is>
      </c>
      <c r="C121" s="3" t="inlineStr">
        <is>
          <t>合同列表-按状态与类型筛选及分页</t>
        </is>
      </c>
      <c r="D121" s="3" t="inlineStr">
        <is>
          <t>库中存在销售/采购合同各若干条，覆盖多种状态</t>
        </is>
      </c>
      <c r="E121" s="3" t="inlineStr">
        <is>
          <t>1. 打开合同列表
2. 分别按类型（销售/采购）与状态筛选
3. 翻页核对总数</t>
        </is>
      </c>
      <c r="F121" s="3" t="inlineStr">
        <is>
          <t>筛选：类型=销售/采购；状态=审批中/已归档等</t>
        </is>
      </c>
      <c r="G121" s="3" t="inlineStr">
        <is>
          <t>筛选结果与库中对应条件条数一致；分页总数与筛选结果总数一致；无跨类型串数据</t>
        </is>
      </c>
      <c r="H121" s="2" t="inlineStr">
        <is>
          <t>中</t>
        </is>
      </c>
      <c r="I121" s="3" t="inlineStr">
        <is>
          <t>账号 fengcailing/&lt;OA_USER_PWD&gt; + 多状态多类型合同数据</t>
        </is>
      </c>
      <c r="J121" s="3" t="inlineStr">
        <is>
          <t>测试计划 §4.4 接口 16（合同列表）；§4.5 构造 15~20 条多状态多金额区间数据</t>
        </is>
      </c>
      <c r="K121" s="8" t="inlineStr">
        <is>
          <t>通过</t>
        </is>
      </c>
      <c r="L121" s="3" t="inlineStr">
        <is>
          <t>【admin】GET /contract/{contract,purchase}/datalist（6 组筛选 + 全量翻页 + 双视角）
筛选与分页逐项与库一致：销售合同列表总数 库21/接口21；销售 类型=普通(types=1) → 库18 / 接口count=18 / 返回18 / 越界0；销售 类型=产品(types=2) → 库3 / 接口count=3 / 返回3 / 越界0；销售 状态=待提交(check_status=0) → 库12 / 接口count=12 / 返回12 / 越界0；销售 状态=审批中(check_status=1) → 库3 / 接口count=3 / 返回3 / 越界0；销售 状态=审批通过(check_status=2) → 库4 / 接口count=4 / 返回4 / 越界0；销售 分类(cate_id=1) → 库17 / 接口count=17 / 返回17 / 越界0；销售 分页：翻 6 页取到 21 条 / 接口总数 21 / 重复 无；采购合同列表总数 库6/接口6；采购 类型=普通(types=1) → 库4 / 接口count=4 / 返回4 / 越界0；采购 类型=产品(types=2) → 库1 / 接口count=1 / 返回1 / 越界0；采购 状态=待提交(check_status=0) → 库2 / 接口count=2 / 返回2 / 越界0；采购 状态=审批中(check_status=1) → 库1 / 接口count=1 / 返回1 / 越界0；采购 状态=审批通过(check_status=2) → 库1 / 接口count=1 / 返回1 / 越界0；采购 分类(cate_id=1) → 库4 / 接口count=4 / 返回4 / 越界0；采购 分页：翻 3 页取到 6 条 / 接口总数 6 / 重复 无；跨类型串数据：销售列表 21 条中 code 命中采购表的 0 条；数据权限：管理岗可见 12 条（按其本人范围算得 12 条）</t>
        </is>
      </c>
      <c r="M121" s="3" t="inlineStr"/>
      <c r="N121" s="3" t="inlineStr"/>
      <c r="O121" s="3" t="inlineStr">
        <is>
          <t>来源：case_results_ht.json</t>
        </is>
      </c>
      <c r="P121" s="3" t="inlineStr">
        <is>
          <t>oa_data_auth 中 contract_admin 的 conf_1 为空，即除超管（uid==1 时 isAuth 短路返回 1）外没有任何账号被配置为合同管理员，所以「数据权限」这条 whereOr 分支在演示实例里只对普通账号生效；本次以管理岗 fengcailing 复核了该分支，其可见条数未超出本人相关范围</t>
        </is>
      </c>
      <c r="Q121" s="8" t="inlineStr">
        <is>
          <t>本次实测</t>
        </is>
      </c>
      <c r="R121" s="3" t="inlineStr">
        <is>
          <t>基线口径与 Contract::datalist 的 where 完全对齐：delete_time=0 AND archive_time=0 AND stop_time=0 AND void_time=0 再叠加各筛选条件；总数比对用超管（isAuth 对 uid==1 直接放行，恒为合同管理员，可见全量）</t>
        </is>
      </c>
      <c r="S121" s="3" t="inlineStr"/>
    </row>
    <row r="122">
      <c r="A122" s="2" t="inlineStr">
        <is>
          <t>XZ-001</t>
        </is>
      </c>
      <c r="B122" s="2" t="inlineStr">
        <is>
          <t>薪资管理</t>
        </is>
      </c>
      <c r="C122" s="3" t="inlineStr">
        <is>
          <t>我的薪资-列表仅返回本人记录</t>
        </is>
      </c>
      <c r="D122" s="3" t="inlineStr">
        <is>
          <t>已用普通员工账号 teststaff 登录（仅持「我的薪资」列表 266 + 详情 267 节点，由 setup_salary_data.py 构造）；同一批次下该员工与同事均有已发放工资条</t>
        </is>
      </c>
      <c r="E122" s="3" t="inlineStr">
        <is>
          <t>1. 打开「我的薪资」页
2. 观察列表返回的记录
3. 调 /oa/salary/datalist 并逐条核对 uid</t>
        </is>
      </c>
      <c r="F122" s="3" t="inlineStr">
        <is>
          <t>无</t>
        </is>
      </c>
      <c r="G122" s="3" t="inlineStr">
        <is>
          <t>仅返回 uid=当前登录用户 的记录；不出现任何他人记录</t>
        </is>
      </c>
      <c r="H122" s="2" t="inlineStr">
        <is>
          <t>高</t>
        </is>
      </c>
      <c r="I122" s="3" t="inlineStr">
        <is>
          <t>账号 teststaff/&lt;OA_USER_PWD&gt; + 已发放批次 1 个（含本人与同事明细）</t>
        </is>
      </c>
      <c r="J122" s="3" t="inlineStr">
        <is>
          <t>源码 app/oa/controller/Salary.php:47（datalist 有 uid 过滤 + status=1 过滤）；本条同时是测试计划 §2.1「UI 对照法」中「界面受限」的一半</t>
        </is>
      </c>
      <c r="K122" s="8" t="inlineStr">
        <is>
          <t>通过</t>
        </is>
      </c>
      <c r="L122" s="3" t="inlineStr">
        <is>
          <t>【teststaff】GET /oa/salary/datalist（普通员工 teststaff）
返回 1 条，uid 集合=[110]（仅本人 110）；逐条：id=1000 uid=110 月份=2026-08 状态=已发放 实发=9555.00。批次 A 同批次下另有同事 uid=108/109 的已发放明细（库中 3 条），均未被下发</t>
        </is>
      </c>
      <c r="M122" s="3" t="inlineStr"/>
      <c r="N122" s="3" t="inlineStr"/>
      <c r="O122" s="3" t="inlineStr">
        <is>
          <t>来源：case_results_salary.json</t>
        </is>
      </c>
      <c r="P122" s="3" t="inlineStr"/>
      <c r="Q122" s="8" t="inlineStr">
        <is>
          <t>本次实测</t>
        </is>
      </c>
      <c r="R122" s="3" t="inlineStr">
        <is>
          <t>datalist 的 where 为 delete_time=0 + uid=$this-&gt;uid + status=1（app/oa/controller/Salary.php:45-47）；本条同时充当测试计划 §2.1「UI 对照法」中「界面受限」的一半</t>
        </is>
      </c>
      <c r="S122" s="3" t="inlineStr"/>
    </row>
    <row r="123">
      <c r="A123" s="2" t="inlineStr">
        <is>
          <t>XZ-002</t>
        </is>
      </c>
      <c r="B123" s="2" t="inlineStr">
        <is>
          <t>薪资管理</t>
        </is>
      </c>
      <c r="C123" s="3" t="inlineStr">
        <is>
          <t>我的薪资-详情越权访问他人工资条</t>
        </is>
      </c>
      <c r="D123" s="3" t="inlineStr">
        <is>
          <t>已用 teststaff 登录；已知同事（testemp，oa_admin.id=109）名下一条工资明细的 id</t>
        </is>
      </c>
      <c r="E123" s="3" t="inlineStr">
        <is>
          <t>1. teststaff 登录
2. 直接请求 /oa/salary/view?id=&lt;同事的明细 id&gt;
3. 核对响应是否为该同事的工资明细
4. 对照界面：「我的薪资」列表中并无该记录的入口</t>
        </is>
      </c>
      <c r="F123" s="3" t="inlineStr">
        <is>
          <t>id = 同事名下工资明细的 id（非本人）</t>
        </is>
      </c>
      <c r="G123" s="3" t="inlineStr">
        <is>
          <t>请求被拒绝（服务端应校验该记录的归属 uid 是否为当前用户）；不得返回他人工资明细</t>
        </is>
      </c>
      <c r="H123" s="2" t="inlineStr">
        <is>
          <t>高</t>
        </is>
      </c>
      <c r="I123" s="3" t="inlineStr">
        <is>
          <t>账号 teststaff/&lt;OA_USER_PWD&gt; + 同事工资明细 id 1 个</t>
        </is>
      </c>
      <c r="J123" s="3" t="inlineStr">
        <is>
          <t>源码 app/oa/controller/Salary.php:59 view($id) **无 uid 判断**（对照同文件 :47 的 datalist 明确有 uid 过滤）；同类先例见缺陷报告 BUG-05「假勤四模块 view/add/del 无归属校验」（B 级）；判定须用测试计划 §2.1 UI 对照法：界面无入口而接口放行方为确凿缺陷</t>
        </is>
      </c>
      <c r="K123" s="8" t="inlineStr">
        <is>
          <t>失败</t>
        </is>
      </c>
      <c r="L123" s="3" t="inlineStr">
        <is>
          <t>【teststaff】GET /oa/salary/view?id=&lt;同事明细 id&gt;（普通员工 teststaff）
越权读取成立：id=1002(uid=109 同级对照测试员) 姓名命中=True 实发命中=True；id=1001(uid=108 最小权限测试员) 姓名命中=True 实发命中=True。界面侧本人「我的薪资」列表返回 1 条（id 集合 ['1000']，不含同事明细 []），但接口未做归属校验——app/oa/controller/Salary.php:59 的 view($id) 直接 $this-&gt;model-&gt;getById($id)，既无 uid 判断也无 status 判断（对照同文件 :45-47 的 datalist 明确有 uid+status 双过滤）。满足测试计划 §2.1 UI 对照法：「界面受限而接口不受限」⇒ 确凿缺陷</t>
        </is>
      </c>
      <c r="M123" s="3" t="inlineStr"/>
      <c r="N123" s="3" t="inlineStr">
        <is>
          <t>BUG-19 员工侧工资条详情无归属校验（水平越权，一般 B）</t>
        </is>
      </c>
      <c r="O123" s="3" t="inlineStr">
        <is>
          <t>证据-14｜来源：case_results_salary.json</t>
        </is>
      </c>
      <c r="P123" s="3" t="inlineStr"/>
      <c r="Q123" s="8" t="inlineStr">
        <is>
          <t>本次实测</t>
        </is>
      </c>
      <c r="R123" s="3" t="inlineStr">
        <is>
          <t>同部门同级同事（did=3）的明细，排除「上级看下级」的正当性；同类先例见 BUG-05「假勤四模块 view/add/del 无归属校验」（B 级）</t>
        </is>
      </c>
      <c r="S123" s="3" t="inlineStr"/>
    </row>
    <row r="124">
      <c r="A124" s="2" t="inlineStr">
        <is>
          <t>XZ-003</t>
        </is>
      </c>
      <c r="B124" s="2" t="inlineStr">
        <is>
          <t>薪资管理</t>
        </is>
      </c>
      <c r="C124" s="3" t="inlineStr">
        <is>
          <t>我的薪资-越权响应是否下发未渲染的敏感字段</t>
        </is>
      </c>
      <c r="D124" s="3" t="inlineStr">
        <is>
          <t>承接 XZ-002（已取得越权响应原文）；已知目标员工工资明细中 bank / bank_no 的库中实测值</t>
        </is>
      </c>
      <c r="E124" s="3" t="inlineStr">
        <is>
          <t>1. 回读目标明细的 bank、bank_no 实测值
2. 在 XZ-002 的响应原文中检索该值
3. 同时检索其它未在页面渲染的字段</t>
        </is>
      </c>
      <c r="F124" s="3" t="inlineStr">
        <is>
          <t>目标明细的 bank_no 实测值</t>
        </is>
      </c>
      <c r="G124" s="3" t="inlineStr">
        <is>
          <t>页面未渲染的敏感字段（银行卡号等）不应出现在响应中</t>
        </is>
      </c>
      <c r="H124" s="2" t="inlineStr">
        <is>
          <t>中</t>
        </is>
      </c>
      <c r="I124" s="3" t="inlineStr">
        <is>
          <t>同事工资明细的 bank / bank_no</t>
        </is>
      </c>
      <c r="J124" s="3" t="inlineStr">
        <is>
          <t>app/oa/view/salary/view.html 仅渲染各工资项与合计，**未渲染 bank / bank_no**；本条用于界定越权后果的边界 —— 防止把「工资明细泄露」夸大为「银行卡号泄露」，未下发则如实记录（对照 04_缺陷报告 观察-02 的撤回先例）</t>
        </is>
      </c>
      <c r="K124" s="8" t="inlineStr">
        <is>
          <t>通过</t>
        </is>
      </c>
      <c r="L124" s="3" t="inlineStr">
        <is>
          <t>【teststaff】在 XZ-002 的越权响应原文中检索未渲染字段（bank / bank_no）
目标明细（id=1001）库中 bank=「中国工商银行」、bank_no=「6217000000000002」，二者均**未**出现在越权响应中（响应长度 4153）；阳性对照通过：模板确实渲染的 remark 命中=True，说明检索方式本身有效、非「搜什么都搜不到」。与模板一致：app/oa/view/salary/view.html 渲染的 detail 字段清单里没有 bank/bank_no—— 故本缺陷的后果界定为「他人工资明细泄露」，**不含银行卡号泄露**</t>
        </is>
      </c>
      <c r="M124" s="3" t="inlineStr"/>
      <c r="N124" s="3" t="inlineStr"/>
      <c r="O124" s="3" t="inlineStr">
        <is>
          <t>来源：case_results_salary.json</t>
        </is>
      </c>
      <c r="P124" s="3" t="inlineStr"/>
      <c r="Q124" s="8" t="inlineStr">
        <is>
          <t>本次实测</t>
        </is>
      </c>
      <c r="R124" s="3" t="inlineStr">
        <is>
          <t>防夸大控制项：界定 XZ-002 的后果边界，避免把「工资明细泄露」夸大为「银行卡号泄露」（项目已有 观察-02 撤回、probe_contract_range 改写的先例）；remark 一列是本条的阳性对照</t>
        </is>
      </c>
      <c r="S124" s="3" t="inlineStr"/>
    </row>
    <row r="125">
      <c r="A125" s="2" t="inlineStr">
        <is>
          <t>XZ-004</t>
        </is>
      </c>
      <c r="B125" s="2" t="inlineStr">
        <is>
          <t>薪资管理</t>
        </is>
      </c>
      <c r="C125" s="3" t="inlineStr">
        <is>
          <t>我的薪资-未发放批次明细的可见性</t>
        </is>
      </c>
      <c r="D125" s="3" t="inlineStr">
        <is>
          <t>库中存在一个 status=0（未发放）的批次，其下有 teststaff 本人的工资明细</t>
        </is>
      </c>
      <c r="E125" s="3" t="inlineStr">
        <is>
          <t>1. teststaff 登录
2. 打开「我的薪资」列表，确认未发放批次不在列表中
3. 直接请求该未发放明细的详情 id</t>
        </is>
      </c>
      <c r="F125" s="3" t="inlineStr">
        <is>
          <t>未发放批次下本人明细的 id</t>
        </is>
      </c>
      <c r="G125" s="3" t="inlineStr">
        <is>
          <t>未发放（status=0）的工资条不应被员工读到 —— 列表已按 status=1 过滤，详情接口应保持一致</t>
        </is>
      </c>
      <c r="H125" s="2" t="inlineStr">
        <is>
          <t>中</t>
        </is>
      </c>
      <c r="I125" s="3" t="inlineStr">
        <is>
          <t>账号 teststaff/&lt;OA_USER_PWD&gt; + 未发放批次 1 个及其明细</t>
        </is>
      </c>
      <c r="J125" s="3" t="inlineStr">
        <is>
          <t>源码对照：datalist 过滤 status=1（app/oa/controller/Salary.php:47），而 view($id) 无 status 过滤（同文件 :59）</t>
        </is>
      </c>
      <c r="K125" s="8" t="inlineStr">
        <is>
          <t>失败</t>
        </is>
      </c>
      <c r="L125" s="3" t="inlineStr">
        <is>
          <t>【teststaff】GET /oa/salary/datalist → GET /oa/salary/view?id=1018（本人未发放明细）
列表与详情口径不一致：未发放明细（id=1018，status=0）确实不在本人列表中（1 条），但**详情接口可读**（HTTP 200，页面命中=True）—— datalist 过滤了 status=1（app/oa/controller/Salary.php:47），view($id) 未过滤（同文件 :59），同一函数同时缺 uid 与 status 两道校验（uid 缺口见 XZ-002）</t>
        </is>
      </c>
      <c r="M125" s="3" t="inlineStr"/>
      <c r="N125" s="3" t="inlineStr">
        <is>
          <t>BUG-19 员工侧工资条详情无归属校验（水平越权，一般 B）</t>
        </is>
      </c>
      <c r="O125" s="3" t="inlineStr">
        <is>
          <t>证据-14｜来源：case_results_salary.json</t>
        </is>
      </c>
      <c r="P125" s="3" t="inlineStr">
        <is>
          <t>未发放批次下若含**他人**明细，同一请求同样可读 —— 那是 XZ-002 的 uid 缺口，本条不重复计量</t>
        </is>
      </c>
      <c r="Q125" s="8" t="inlineStr">
        <is>
          <t>本次实测</t>
        </is>
      </c>
      <c r="R125" s="3" t="inlineStr">
        <is>
          <t>本条测的是 status 过滤缺口，而对象是**本人**未发放草稿，保密性影响有限，故不单开缺陷号，作为 BUG-19 同一处缺失（view() 无任何 where 条件）的佐证并入；若复核认为应单列，按 C 级处理</t>
        </is>
      </c>
      <c r="S125" s="3" t="inlineStr"/>
    </row>
    <row r="126">
      <c r="A126" s="2" t="inlineStr">
        <is>
          <t>XZ-005</t>
        </is>
      </c>
      <c r="B126" s="2" t="inlineStr">
        <is>
          <t>薪资管理</t>
        </is>
      </c>
      <c r="C126" s="3" t="inlineStr">
        <is>
          <t>员工工资明细-新增（正常值，正向基线）</t>
        </is>
      </c>
      <c r="D126" s="3" t="inlineStr">
        <is>
          <t>已用管理岗账号登录，具备「员工薪资」权限；已存在一个工资批次</t>
        </is>
      </c>
      <c r="E126" s="3" t="inlineStr">
        <is>
          <t>1. 打开批次详情
2. 新增一条员工工资明细，各工资项填正常值
3. 保存
4. 回读 oa_salary_records 核对各字段</t>
        </is>
      </c>
      <c r="F126" s="3" t="inlineStr">
        <is>
          <t>基本工资 8000.00；绩效 2000.00；社保 800.00；公积金 600.00；个税 150.00</t>
        </is>
      </c>
      <c r="G126" s="3" t="inlineStr">
        <is>
          <t>保存成功；库中各字段与提交值一致</t>
        </is>
      </c>
      <c r="H126" s="2" t="inlineStr">
        <is>
          <t>高</t>
        </is>
      </c>
      <c r="I126" s="3" t="inlineStr">
        <is>
          <t>账号 fengcailing/&lt;OA_USER_PWD&gt; + 工资批次 1 个 + 员工 1 名</t>
        </is>
      </c>
      <c r="J126" s="3" t="inlineStr">
        <is>
          <t>测试计划 附录 A-2 #19；先证明接口可用，后续失败用例才有归因意义</t>
        </is>
      </c>
      <c r="K126" s="8" t="inlineStr">
        <is>
          <t>通过</t>
        </is>
      </c>
      <c r="L126" s="3" t="inlineStr">
        <is>
          <t>【fengcailing】POST /adm/salary/records_add（批次 1002，正常值）
保存成功 code=0；oa_salary_records 新增 1 行 id=1019（该批次该员工 0→1 条）；五项提交值与库中实测逐项一致；该行 status=0（新建默认待发放）；派生合计 应发=10000.00 代扣代缴=1550.00 实发=8450.00；批次汇总 amount=10000.00（= 10000.00，Decimal 复算一致）</t>
        </is>
      </c>
      <c r="M126" s="3" t="inlineStr"/>
      <c r="N126" s="3" t="inlineStr"/>
      <c r="O126" s="3" t="inlineStr">
        <is>
          <t>来源：case_results_salary.json</t>
        </is>
      </c>
      <c r="P126" s="3" t="inlineStr"/>
      <c r="Q126" s="8" t="inlineStr">
        <is>
          <t>本次实测</t>
        </is>
      </c>
      <c r="R126" s="3" t="inlineStr">
        <is>
          <t>先证明接口可用，后续 b 组的失败用例才有归因意义</t>
        </is>
      </c>
      <c r="S126" s="3" t="inlineStr"/>
    </row>
    <row r="127">
      <c r="A127" s="2" t="inlineStr">
        <is>
          <t>XZ-006</t>
        </is>
      </c>
      <c r="B127" s="2" t="inlineStr">
        <is>
          <t>薪资管理</t>
        </is>
      </c>
      <c r="C127" s="3" t="inlineStr">
        <is>
          <t>员工工资明细-基本工资为负数</t>
        </is>
      </c>
      <c r="D127" s="3" t="inlineStr">
        <is>
          <t>同上；已知该批次下尚未录入该员工的明细</t>
        </is>
      </c>
      <c r="E127" s="3" t="inlineStr">
        <is>
          <t>1. 新增明细，基本工资填负数
2. 保存
3. 回读 oa_salary_records 该行</t>
        </is>
      </c>
      <c r="F127" s="3" t="inlineStr">
        <is>
          <t>基本工资 = -8000.00</t>
        </is>
      </c>
      <c r="G127" s="3" t="inlineStr">
        <is>
          <t>被拒绝，不写入脏数据；库中不应出现负的基本工资</t>
        </is>
      </c>
      <c r="H127" s="2" t="inlineStr">
        <is>
          <t>高</t>
        </is>
      </c>
      <c r="I127" s="3" t="inlineStr">
        <is>
          <t>账号 fengcailing/&lt;OA_USER_PWD&gt; + 批次 1 个</t>
        </is>
      </c>
      <c r="J127" s="3" t="inlineStr">
        <is>
          <t>源码 app/adm/validate/RecordsValidate.php:28-31 规则表**只有 uid / id，无任何金额字段**；app/adm/controller/Salary.php:134-184 仅对空值置 0；同类先例 BUG-17「合同金额与税点缺少服务端范围校验」</t>
        </is>
      </c>
      <c r="K127" s="8" t="inlineStr">
        <is>
          <t>失败</t>
        </is>
      </c>
      <c r="L127" s="3" t="inlineStr">
        <is>
          <t>【fengcailing】POST /adm/salary/records_add（基本工资 -8000.00，批次 1003）
负数基本工资被接受并落库：code=0，oa_salary_records 新增 id=1020；salary_basic=-8000.00；total_payable=-6000.00；total_payment=-7550.00。RecordsValidate 的规则表只有 uid(require|checkOne) 与 id(require)（app/adm/validate/RecordsValidate.php:28-31），20 多个金额字段一个都没校验；控制器 app/adm/controller/Salary.php:134-184 只对空值置 0，无任何范围判断；前端 layui 的 number 规则是 isNaN(value)（public/static/assets/mbui/module/form.js:31-35），isNaN('-8000.00')===false ⇒ **负数在界面上同样放行**，属前后端均无校验</t>
        </is>
      </c>
      <c r="M127" s="3" t="inlineStr"/>
      <c r="N127" s="3" t="inlineStr">
        <is>
          <t>BUG-20 工资明细金额字段缺服务端范围校验（一般 C）</t>
        </is>
      </c>
      <c r="O127" s="3" t="inlineStr">
        <is>
          <t>证据-15｜来源：case_results_salary.json</t>
        </is>
      </c>
      <c r="P127" s="3" t="inlineStr"/>
      <c r="Q127" s="8" t="inlineStr">
        <is>
          <t>本次实测</t>
        </is>
      </c>
      <c r="R127" s="3" t="inlineStr">
        <is>
          <t>同类先例 BUG-17「合同金额与税点缺少服务端范围校验」，但校验类不同（RecordsValidate vs ContractValidate）、表不同，属跨模块复现，不合并</t>
        </is>
      </c>
      <c r="S127" s="3" t="inlineStr"/>
    </row>
    <row r="128">
      <c r="A128" s="2" t="inlineStr">
        <is>
          <t>XZ-007</t>
        </is>
      </c>
      <c r="B128" s="2" t="inlineStr">
        <is>
          <t>薪资管理</t>
        </is>
      </c>
      <c r="C128" s="3" t="inlineStr">
        <is>
          <t>员工工资明细-社保与公积金扣款为负数</t>
        </is>
      </c>
      <c r="D128" s="3" t="inlineStr">
        <is>
          <t>同上</t>
        </is>
      </c>
      <c r="E128" s="3" t="inlineStr">
        <is>
          <t>1. 新增明细，社保与公积金扣款均填负数
2. 保存
3. 回读该行</t>
        </is>
      </c>
      <c r="F128" s="3" t="inlineStr">
        <is>
          <t>社保 = -800.00；公积金 = -600.00</t>
        </is>
      </c>
      <c r="G128" s="3" t="inlineStr">
        <is>
          <t>被拒绝；库中不应出现负的扣款项</t>
        </is>
      </c>
      <c r="H128" s="2" t="inlineStr">
        <is>
          <t>高</t>
        </is>
      </c>
      <c r="I128" s="3" t="inlineStr">
        <is>
          <t>账号 fengcailing/&lt;OA_USER_PWD&gt; + 批次 1 个</t>
        </is>
      </c>
      <c r="J128" s="3" t="inlineStr">
        <is>
          <t>同 XZ-006；扣款项为负数会反向推高批次汇总（见 XZ-011 的算式）</t>
        </is>
      </c>
      <c r="K128" s="8" t="inlineStr">
        <is>
          <t>失败</t>
        </is>
      </c>
      <c r="L128" s="3" t="inlineStr">
        <is>
          <t>【fengcailing】POST /adm/salary/records_add（社保 -800.00 / 公积金 -600.00，批次 1004）
负的扣款项被接受并落库：code=0，id=1021；deduct_social=-800.00；deduct_gongjijin=-600.00；total_statutory=-1250.00；total_payment=9250.00。负扣款会经 update_salary 的 Σdeduct_social / Σdeduct_gongjijin 反向推高批次汇总 amount（见 XZ-011 的算式）</t>
        </is>
      </c>
      <c r="M128" s="3" t="inlineStr"/>
      <c r="N128" s="3" t="inlineStr">
        <is>
          <t>BUG-20 工资明细金额字段缺服务端范围校验（一般 C）</t>
        </is>
      </c>
      <c r="O128" s="3" t="inlineStr">
        <is>
          <t>证据-15｜来源：case_results_salary.json</t>
        </is>
      </c>
      <c r="P128" s="3" t="inlineStr"/>
      <c r="Q128" s="8" t="inlineStr">
        <is>
          <t>本次实测</t>
        </is>
      </c>
      <c r="R128" s="3" t="inlineStr">
        <is>
          <t>同 XZ-006</t>
        </is>
      </c>
      <c r="S128" s="3" t="inlineStr"/>
    </row>
    <row r="129">
      <c r="A129" s="2" t="inlineStr">
        <is>
          <t>XZ-008</t>
        </is>
      </c>
      <c r="B129" s="2" t="inlineStr">
        <is>
          <t>薪资管理</t>
        </is>
      </c>
      <c r="C129" s="3" t="inlineStr">
        <is>
          <t>员工工资明细-扣款合计大于应发（实发为负）</t>
        </is>
      </c>
      <c r="D129" s="3" t="inlineStr">
        <is>
          <t>同上</t>
        </is>
      </c>
      <c r="E129" s="3" t="inlineStr">
        <is>
          <t>1. 新增明细，应发合计填 5000.00、扣款合计填 6000.00
2. 保存
3. 回读实发字段</t>
        </is>
      </c>
      <c r="F129" s="3" t="inlineStr">
        <is>
          <t>应发合计 5000.00；扣款合计 6000.00；实发 = -1000.00</t>
        </is>
      </c>
      <c r="G129" s="3" t="inlineStr">
        <is>
          <t>被拒绝，或由服务端按业务规则重算；不应允许实发为负的工资条入库</t>
        </is>
      </c>
      <c r="H129" s="2" t="inlineStr">
        <is>
          <t>中</t>
        </is>
      </c>
      <c r="I129" s="3" t="inlineStr">
        <is>
          <t>账号 fengcailing/&lt;OA_USER_PWD&gt; + 批次 1 个</t>
        </is>
      </c>
      <c r="J129" s="3" t="inlineStr">
        <is>
          <t>应发/扣款/实发合计三列由前端算好后提交，服务端只做入库（app/adm/controller/Salary.php:130-205 无重算、无校验）</t>
        </is>
      </c>
      <c r="K129" s="8" t="inlineStr">
        <is>
          <t>失败</t>
        </is>
      </c>
      <c r="L129" s="3" t="inlineStr">
        <is>
          <t>【fengcailing】POST /adm/salary/records_add（应发 5000.00 / 应扣 6000.00 ⇒ 实发 -1000.00，批次 1005）
实发为负的工资条被接受并落库：code=0，id=1022；库中 应发=5000.00 应扣=6000.00 实发=-1000.00。应发/应扣/代扣代缴/实发四列在界面上是 JS 算好后经 &lt;input type="hidden"&gt; 提交的（records_add.html:77-85 与 :150-180），**服务端只做入库、不重算也不校验**（app/adm/controller/Salary.php:130-205）—— 即客户端可直接指定实发额</t>
        </is>
      </c>
      <c r="M129" s="3" t="inlineStr"/>
      <c r="N129" s="3" t="inlineStr">
        <is>
          <t>BUG-20 工资明细金额字段缺服务端范围校验（一般 C）</t>
        </is>
      </c>
      <c r="O129" s="3" t="inlineStr">
        <is>
          <t>证据-15｜来源：case_results_salary.json</t>
        </is>
      </c>
      <c r="P129" s="3" t="inlineStr"/>
      <c r="Q129" s="8" t="inlineStr">
        <is>
          <t>本次实测</t>
        </is>
      </c>
      <c r="R129" s="3" t="inlineStr">
        <is>
          <t>用例预期为「被拒绝，**或**由服务端按业务规则重算」——实测两者都没有，故记失败</t>
        </is>
      </c>
      <c r="S129" s="3" t="inlineStr"/>
    </row>
    <row r="130">
      <c r="A130" s="2" t="inlineStr">
        <is>
          <t>XZ-009</t>
        </is>
      </c>
      <c r="B130" s="2" t="inlineStr">
        <is>
          <t>薪资管理</t>
        </is>
      </c>
      <c r="C130" s="3" t="inlineStr">
        <is>
          <t>员工工资明细-金额超出数据库列宽（对照项）</t>
        </is>
      </c>
      <c r="D130" s="3" t="inlineStr">
        <is>
          <t>同上</t>
        </is>
      </c>
      <c r="E130" s="3" t="inlineStr">
        <is>
          <t>1. 新增明细，基本工资填超出 decimal(10,2) 上限的值
2. 保存
3. 记录返回信息并回读</t>
        </is>
      </c>
      <c r="F130" s="3" t="inlineStr">
        <is>
          <t>基本工资 = 999999999.99（超出 decimal(10,2) 上限 99999999.99）</t>
        </is>
      </c>
      <c r="G130" s="3" t="inlineStr">
        <is>
          <t>被拒绝；**若拒绝来自数据库列宽而非业务规则，须如实标注**，不得算作业务校验生效</t>
        </is>
      </c>
      <c r="H130" s="2" t="inlineStr">
        <is>
          <t>低</t>
        </is>
      </c>
      <c r="I130" s="3" t="inlineStr">
        <is>
          <t>账号 fengcailing/&lt;OA_USER_PWD&gt; + 批次 1 个</t>
        </is>
      </c>
      <c r="J130" s="3" t="inlineStr">
        <is>
          <t>写法参照证据-12 对合同超大金额的处理：拦截与否只取决于列宽，恰恰说明服务端缺的是「业务范围校验」这一层</t>
        </is>
      </c>
      <c r="K130" s="8" t="inlineStr">
        <is>
          <t>通过</t>
        </is>
      </c>
      <c r="L130" s="3" t="inlineStr">
        <is>
          <t>【fengcailing】POST /adm/salary/records_add（基本工资 999999999.99，超 decimal(10,2) 上限）
被拒绝：code=1 msg=「操作失败，原因：SQLSTATE[22003]: Numeric value out of range: 1264 Out of range value for column 'salary_basic' at row 1」；未写入错乱数据，HTTP 未 500</t>
        </is>
      </c>
      <c r="M130" s="3" t="inlineStr"/>
      <c r="N130" s="3" t="inlineStr"/>
      <c r="O130" s="3" t="inlineStr">
        <is>
          <t>来源：case_results_salary.json</t>
        </is>
      </c>
      <c r="P130" s="3" t="inlineStr">
        <is>
          <t>本条为对照组：拦截来自**数据库列宽**而非业务规则 —— 999999999.99 是 9 位整数，超出 decimal(10,2) 的 8 位上限，失败原因是 MySQL 的 1264 Out of range；且 SalaryRecords::add() 的 catch 把数据库原始报错原样回给了客户端（app/adm/model/SalaryRecords.php:65-67）—— 该行为属错误信息外泄，与 BUG-12 同族、与 HT-013 合同模块超列宽的观察项同源，不另开编号。**不计作业务校验生效**：它恰恰反证服务端缺的是「业务范围校验」这一层 —— 8 位以内的一切取值（含负数，见 XZ-006/007）全部放行</t>
        </is>
      </c>
      <c r="Q130" s="8" t="inlineStr">
        <is>
          <t>本次实测</t>
        </is>
      </c>
      <c r="R130" s="3" t="inlineStr">
        <is>
          <t>写法参照证据-12 对合同超大金额的处理（HT-013）</t>
        </is>
      </c>
      <c r="S130" s="3" t="inlineStr"/>
    </row>
    <row r="131">
      <c r="A131" s="2" t="inlineStr">
        <is>
          <t>XZ-010</t>
        </is>
      </c>
      <c r="B131" s="2" t="inlineStr">
        <is>
          <t>薪资管理</t>
        </is>
      </c>
      <c r="C131" s="3" t="inlineStr">
        <is>
          <t>员工工资明细-同批次同员工重复录入（正向对照）</t>
        </is>
      </c>
      <c r="D131" s="3" t="inlineStr">
        <is>
          <t>该员工在该批次下已存在一条工资明细</t>
        </is>
      </c>
      <c r="E131" s="3" t="inlineStr">
        <is>
          <t>1. 再次为该员工在该批次下新增明细
2. 观察响应
3. 回读该批次下该员工的明细条数</t>
        </is>
      </c>
      <c r="F131" s="3" t="inlineStr">
        <is>
          <t>重复提交同一 salary_id + uid</t>
        </is>
      </c>
      <c r="G131" s="3" t="inlineStr">
        <is>
          <t>被拒绝，提示「该员工的该月份薪资记录已经存在」；该员工该批次下仍只有 1 条明细</t>
        </is>
      </c>
      <c r="H131" s="2" t="inlineStr">
        <is>
          <t>中</t>
        </is>
      </c>
      <c r="I131" s="3" t="inlineStr">
        <is>
          <t>账号 fengcailing/&lt;OA_USER_PWD&gt; + 已有明细 1 条</t>
        </is>
      </c>
      <c r="J131" s="3" t="inlineStr">
        <is>
          <t>源码 app/adm/validate/RecordsValidate.php:21-26 自定义规则 checkOne（按 salary_id + uid + delete_time=0 查重）；**本条是正向对照**，用来证明「并非所有校验都缺失」，避免把 b 组的结论夸大成「服务端完全无校验」</t>
        </is>
      </c>
      <c r="K131" s="8" t="inlineStr">
        <is>
          <t>通过</t>
        </is>
      </c>
      <c r="L131" s="3" t="inlineStr">
        <is>
          <t>【fengcailing】POST /adm/salary/records_add（批次 1007 下重复为 uid=110 新增）
步骤1 先建立前置：新增 id=1023（该批次该员工 1 条）；步骤2 重复录入被拒绝 code=1 msg=「该员工的该月份薪资记录已经存在」；条数 1→1（仍为 1 条），无重复录入</t>
        </is>
      </c>
      <c r="M131" s="3" t="inlineStr"/>
      <c r="N131" s="3" t="inlineStr">
        <is>
          <t>（正向对照，不关联缺陷）</t>
        </is>
      </c>
      <c r="O131" s="3" t="inlineStr">
        <is>
          <t>来源：case_results_salary.json</t>
        </is>
      </c>
      <c r="P131" s="3" t="inlineStr"/>
      <c r="Q131" s="8" t="inlineStr">
        <is>
          <t>本次实测</t>
        </is>
      </c>
      <c r="R131" s="3" t="inlineStr">
        <is>
          <t>正向对照：checkOne 的判重 SQL 为 salary_id + uid + delete_time=0 + 排除自身 id（app/adm/validate/RecordsValidate.php:21-26）—— 本条用来证明「并非所有校验都缺失」，避免把 b 组结论夸大成「服务端完全无校验」</t>
        </is>
      </c>
      <c r="S131" s="3" t="inlineStr"/>
    </row>
    <row r="132">
      <c r="A132" s="2" t="inlineStr">
        <is>
          <t>XZ-011</t>
        </is>
      </c>
      <c r="B132" s="2" t="inlineStr">
        <is>
          <t>薪资管理</t>
        </is>
      </c>
      <c r="C132" s="3" t="inlineStr">
        <is>
          <t>批次汇总-单人：汇总金额=应发+社保+公积金+个税</t>
        </is>
      </c>
      <c r="D132" s="3" t="inlineStr">
        <is>
          <t>批次下仅有 1 条工资明细（正常值、含 0.01 级小数）</t>
        </is>
      </c>
      <c r="E132" s="3" t="inlineStr">
        <is>
          <t>1. 回读 oa_salary_records 该条的四个金额
2. 回读 oa_salary 的 amount / salary / social / gongjijin / tax
3. 用 Python Decimal 独立复算并比对</t>
        </is>
      </c>
      <c r="F132" s="3" t="inlineStr">
        <is>
          <t>单人明细 1 条</t>
        </is>
      </c>
      <c r="G132" s="3" t="inlineStr">
        <is>
          <t>oa_salary.amount == Σtotal_payment + Σdeduct_social + Σdeduct_gongjijin + Σdeduct_tax，精确到分</t>
        </is>
      </c>
      <c r="H132" s="2" t="inlineStr">
        <is>
          <t>中</t>
        </is>
      </c>
      <c r="I132" s="3" t="inlineStr">
        <is>
          <t>账号 fengcailing/&lt;OA_USER_PWD&gt; + 批次与明细各 1 条</t>
        </is>
      </c>
      <c r="J132" s="3" t="inlineStr">
        <is>
          <t>源码 app/adm/model/SalaryRecords.php:141-150 update_salary()；判据不采信接口返回值，以库中实测值 + Decimal 独立复算为准</t>
        </is>
      </c>
      <c r="K132" s="8" t="inlineStr">
        <is>
          <t>通过</t>
        </is>
      </c>
      <c r="L132" s="3" t="inlineStr">
        <is>
          <t>【fengcailing】POST /adm/salary/records_add → 回读 oa_salary（批次 1008，单人）
批次下 1 条明细（id=1024，实发=5449.70 社保=800.11 公积金=600.13 个税=150.17）；库中 amount=7000.11 / salary=5449.70 / social=800.11 / gongjijin=600.13 / tax=150.17；Decimal 复算 Σ实发=5449.70 + Σ社保=800.11 + Σ公积金=600.13 + Σ个税=150.17 = 7000.11。与 Decimal 独立复算一致，精确到分</t>
        </is>
      </c>
      <c r="M132" s="3" t="inlineStr">
        <is>
          <t>用例标题写「=应发+社保+公积金+个税」，而预期结果列写的是 Σtotal_payment（实发）+社保+公积金+个税，与源码一致；标题的「应发」为措辞不严谨，判定以预期结果列与源码为准</t>
        </is>
      </c>
      <c r="N132" s="3" t="inlineStr"/>
      <c r="O132" s="3" t="inlineStr">
        <is>
          <t>来源：case_results_salary.json</t>
        </is>
      </c>
      <c r="P132" s="3" t="inlineStr"/>
      <c r="Q132" s="8" t="inlineStr">
        <is>
          <t>本次实测</t>
        </is>
      </c>
      <c r="R132" s="3" t="inlineStr">
        <is>
          <t>源码 app/adm/model/SalaryRecords.php:141-150 update_salary()；**不采信接口返回值**，一律回读 oa_salary 并用 Python Decimal 独立复算</t>
        </is>
      </c>
      <c r="S132" s="3" t="inlineStr"/>
    </row>
    <row r="133">
      <c r="A133" s="2" t="inlineStr">
        <is>
          <t>XZ-012</t>
        </is>
      </c>
      <c r="B133" s="2" t="inlineStr">
        <is>
          <t>薪资管理</t>
        </is>
      </c>
      <c r="C133" s="3" t="inlineStr">
        <is>
          <t>批次汇总-多人：汇总金额=各人求和</t>
        </is>
      </c>
      <c r="D133" s="3" t="inlineStr">
        <is>
          <t>批次下有 3 条工资明细（分属不同员工）</t>
        </is>
      </c>
      <c r="E133" s="3" t="inlineStr">
        <is>
          <t>1. 回读 3 条明细的四个金额
2. 回读批次汇总
3. 用 Decimal 分别求和后比对</t>
        </is>
      </c>
      <c r="F133" s="3" t="inlineStr">
        <is>
          <t>明细 3 条（不同 uid）</t>
        </is>
      </c>
      <c r="G133" s="3" t="inlineStr">
        <is>
          <t>批次汇总等于 3 人四项金额之和，精确到分</t>
        </is>
      </c>
      <c r="H133" s="2" t="inlineStr">
        <is>
          <t>中</t>
        </is>
      </c>
      <c r="I133" s="3" t="inlineStr">
        <is>
          <t>账号 fengcailing/&lt;OA_USER_PWD&gt; + 明细 3 条</t>
        </is>
      </c>
      <c r="J133" s="3" t="inlineStr">
        <is>
          <t>同 XZ-011</t>
        </is>
      </c>
      <c r="K133" s="8" t="inlineStr">
        <is>
          <t>通过</t>
        </is>
      </c>
      <c r="L133" s="3" t="inlineStr">
        <is>
          <t>【fengcailing】POST /adm/salary/records_add ×2 → 回读 oa_salary（批次 1008，3 人）
批次下 3 条明细（分属 uid [108, 109, 110]）；新增结果：uid=108 id=1025 code=0；uid=109 id=1026 code=0；库中 amount=19000.15 / salary=13849.32 / social=2600.21 / gongjijin=2000.27 / tax=550.35；Decimal 复算 Σ实发=13849.32 + Σ社保=2600.21 + Σ公积金=2000.27 + Σ个税=550.35 = 19000.15。汇总等于 3 人四项之和，精确到分</t>
        </is>
      </c>
      <c r="M133" s="3" t="inlineStr"/>
      <c r="N133" s="3" t="inlineStr"/>
      <c r="O133" s="3" t="inlineStr">
        <is>
          <t>来源：case_results_salary.json</t>
        </is>
      </c>
      <c r="P133" s="3" t="inlineStr"/>
      <c r="Q133" s="8" t="inlineStr">
        <is>
          <t>本次实测</t>
        </is>
      </c>
      <c r="R133" s="3" t="inlineStr">
        <is>
          <t>同 XZ-011</t>
        </is>
      </c>
      <c r="S133" s="3" t="inlineStr"/>
    </row>
    <row r="134">
      <c r="A134" s="2" t="inlineStr">
        <is>
          <t>XZ-013</t>
        </is>
      </c>
      <c r="B134" s="2" t="inlineStr">
        <is>
          <t>薪资管理</t>
        </is>
      </c>
      <c r="C134" s="3" t="inlineStr">
        <is>
          <t>批次汇总-小数精度（0.01 级多笔）</t>
        </is>
      </c>
      <c r="D134" s="3" t="inlineStr">
        <is>
          <t>批次下有多笔以分为单位的金额，且相加后容易触发浮点误差</t>
        </is>
      </c>
      <c r="E134" s="3" t="inlineStr">
        <is>
          <t>1. 录入多笔 0.01 / 0.03 级金额
2. 回读批次汇总
3. 用 Decimal 精确复算比对分位</t>
        </is>
      </c>
      <c r="F134" s="3" t="inlineStr">
        <is>
          <t>如 0.01、0.03、0.07 等分位金额若干笔</t>
        </is>
      </c>
      <c r="G134" s="3" t="inlineStr">
        <is>
          <t>汇总到分位无偏差；不应出现 0.30000000000000004 这类浮点残差落到库里</t>
        </is>
      </c>
      <c r="H134" s="2" t="inlineStr">
        <is>
          <t>中</t>
        </is>
      </c>
      <c r="I134" s="3" t="inlineStr">
        <is>
          <t>账号 fengcailing/&lt;OA_USER_PWD&gt; + 分位金额明细若干</t>
        </is>
      </c>
      <c r="J134" s="3" t="inlineStr">
        <is>
          <t>源码 SalaryRecords.php:148 实现为 ($x*10000+…)/10000 的浮点补偿写法 —— 该写法本意即抵消浮点误差，本条验证其是否真的可靠；出现分位偏差即记失败</t>
        </is>
      </c>
      <c r="K134" s="8" t="inlineStr">
        <is>
          <t>通过</t>
        </is>
      </c>
      <c r="L134" s="3" t="inlineStr">
        <is>
          <t>【fengcailing】POST /adm/salary/records_add ×4（0.01 级分位多笔）→ 回读 oa_salary
批次下累计 7 条明细（本次新增 4 条：fengcailing(uid=4) id=1027 code=0；yucixin(uid=5) id=1028 code=0；qinjiaxian(uid=6) id=1029 code=0；yexiaochai(uid=7) id=1030 code=0）；库中 amount=19005.42 / salary=13849.35 / social=2602.11 / gongjijin=2002.35 / tax=551.61；Decimal 复算 Σ实发=13849.35 + Σ社保=2602.11 + Σ公积金=2002.35 + Σ个税=551.61 = 19005.42。汇总为 19005.42，分位精确、无 0.30000000000000004 之类浮点残差落库（库中列为 decimal(10,2)，复算用 Decimal 精确比对）</t>
        </is>
      </c>
      <c r="M134" s="3" t="inlineStr"/>
      <c r="N134" s="3" t="inlineStr"/>
      <c r="O134" s="3" t="inlineStr">
        <is>
          <t>来源：case_results_salary.json</t>
        </is>
      </c>
      <c r="P134" s="3" t="inlineStr">
        <is>
          <t>本条只压分位精度。浮点补偿的误差量级 ~1e-12，远小于 decimal(10,2) 的0.005 舍入阈值，故在 8 位整数以内预期稳定；**若金额量级逼近 8 位整数上限，误差是否仍可忽略未验证**（那需要构造接近 99999999.99 的量级，但 oa_salary.amount 列宽会先成为瓶颈）</t>
        </is>
      </c>
      <c r="Q134" s="8" t="inlineStr">
        <is>
          <t>本次实测</t>
        </is>
      </c>
      <c r="R134" s="3" t="inlineStr">
        <is>
          <t>源码 SalaryRecords.php:148 的浮点补偿写法 ($x*10000+…)/10000 本意即抵消浮点误差，本条验证其是否真的可靠；出现分位偏差即记失败</t>
        </is>
      </c>
      <c r="S134" s="3" t="inlineStr"/>
    </row>
    <row r="135">
      <c r="A135" s="2" t="inlineStr">
        <is>
          <t>XZ-014</t>
        </is>
      </c>
      <c r="B135" s="2" t="inlineStr">
        <is>
          <t>薪资管理</t>
        </is>
      </c>
      <c r="C135" s="3" t="inlineStr">
        <is>
          <t>批次汇总-修改明细后联动更新</t>
        </is>
      </c>
      <c r="D135" s="3" t="inlineStr">
        <is>
          <t>批次下已有明细，已记录当前汇总值</t>
        </is>
      </c>
      <c r="E135" s="3" t="inlineStr">
        <is>
          <t>1. 记录 oa_salary.amount 当前值
2. 修改一条明细的工资金额并保存
3. 重新回读批次汇总
4. 用 Decimal 复算</t>
        </is>
      </c>
      <c r="F135" s="3" t="inlineStr">
        <is>
          <t>将某条明细的绩效由 2000.00 改为 3500.00</t>
        </is>
      </c>
      <c r="G135" s="3" t="inlineStr">
        <is>
          <t>批次汇总随明细修改而更新，且与复算值一致</t>
        </is>
      </c>
      <c r="H135" s="2" t="inlineStr">
        <is>
          <t>中</t>
        </is>
      </c>
      <c r="I135" s="3" t="inlineStr">
        <is>
          <t>账号 fengcailing/&lt;OA_USER_PWD&gt; + 明细 1 条</t>
        </is>
      </c>
      <c r="J135" s="3" t="inlineStr">
        <is>
          <t>源码 SalaryRecords.php:75-86 edit() 末尾调用 $this-&gt;update_salary()</t>
        </is>
      </c>
      <c r="K135" s="8" t="inlineStr">
        <is>
          <t>通过</t>
        </is>
      </c>
      <c r="L135" s="3" t="inlineStr">
        <is>
          <t>【fengcailing】POST /adm/salary/records_add（scene=edit，绩效 2000.00→3500.00）
编辑 code=0（id 仍为 1031）；库中 salary_performance=3500.00；批次汇总 amount 10000.00→11500.00；库中 amount=11500.00 / salary=9950.00 / social=800.00 / gongjijin=600.00 / tax=150.00；Decimal 复算 Σ实发=9950.00 + Σ社保=800.00 + Σ公积金=600.00 + Σ个税=150.00 = 11500.00。修改后汇总与复算一致</t>
        </is>
      </c>
      <c r="M135" s="3" t="inlineStr"/>
      <c r="N135" s="3" t="inlineStr"/>
      <c r="O135" s="3" t="inlineStr">
        <is>
          <t>来源：case_results_salary.json</t>
        </is>
      </c>
      <c r="P135" s="3" t="inlineStr"/>
      <c r="Q135" s="8" t="inlineStr">
        <is>
          <t>本次实测</t>
        </is>
      </c>
      <c r="R135" s="3" t="inlineStr">
        <is>
          <t>源码 SalaryRecords.php:75-86 edit() 末尾调用 $this-&gt;update_salary()</t>
        </is>
      </c>
      <c r="S135" s="3" t="inlineStr"/>
    </row>
    <row r="136">
      <c r="A136" s="2" t="inlineStr">
        <is>
          <t>XZ-015</t>
        </is>
      </c>
      <c r="B136" s="2" t="inlineStr">
        <is>
          <t>薪资管理</t>
        </is>
      </c>
      <c r="C136" s="3" t="inlineStr">
        <is>
          <t>批次汇总-删除明细后联动更新</t>
        </is>
      </c>
      <c r="D136" s="3" t="inlineStr">
        <is>
          <t>批次下已有明细，已记录当前汇总值</t>
        </is>
      </c>
      <c r="E136" s="3" t="inlineStr">
        <is>
          <t>1. 记录 oa_salary.amount 当前值
2. 软删除其中一条明细
3. 重新回读批次汇总
4. 用 Decimal 复算（删除项不应再计入）</t>
        </is>
      </c>
      <c r="F136" s="3" t="inlineStr">
        <is>
          <t>软删除 1 条明细</t>
        </is>
      </c>
      <c r="G136" s="3" t="inlineStr">
        <is>
          <t>批次汇总扣除该条明细的金额，且与复算值一致</t>
        </is>
      </c>
      <c r="H136" s="2" t="inlineStr">
        <is>
          <t>中</t>
        </is>
      </c>
      <c r="I136" s="3" t="inlineStr">
        <is>
          <t>账号 fengcailing/&lt;OA_USER_PWD&gt; + 明细 2 条</t>
        </is>
      </c>
      <c r="J136" s="3" t="inlineStr">
        <is>
          <t>源码 SalaryRecords.php:115-139 delById() 末尾调用 $this-&gt;update_salary()；删除为软删除（delete_time），update_salary 的 where 含 delete_time=0</t>
        </is>
      </c>
      <c r="K136" s="8" t="inlineStr">
        <is>
          <t>通过</t>
        </is>
      </c>
      <c r="L136" s="3" t="inlineStr">
        <is>
          <t>【yucixin】POST records_add → DELETE /adm/salary/records_del?id=1032
明细 id=1032 被软删除（delete_time=1789752993&gt;0）；有效条数 2→1；批次汇总 amount 15500.00→11500.00（扣除该条）；库中 amount=11500.00 / salary=9950.00 / social=800.00 / gongjijin=600.00 / tax=150.00；Decimal 复算 Σ实发=9950.00 + Σ社保=800.00 + Σ公积金=600.00 + Σ个税=150.00 = 11500.00。删除后汇总与复算一致（update_salary 的 where 含 delete_time=0）</t>
        </is>
      </c>
      <c r="M136" s="3" t="inlineStr"/>
      <c r="N136" s="3" t="inlineStr"/>
      <c r="O136" s="3" t="inlineStr">
        <is>
          <t>来源：case_results_salary.json</t>
        </is>
      </c>
      <c r="P136" s="3" t="inlineStr">
        <is>
          <t>①账号选择：本条的删除动作须持节点 222（adm/salary/records_del），实测**管理岗角色（组2，fengcailing）不含 222**，首次执行即以 405「你没有权限,请联系管理员或者人事部」被拒；改用业务岗角色（组3，yucixin，含 220+222）复测。②records_del() 只判断了请求方法（request()-&gt;isDelete()），未校验明细的归属或批次状态 —— 任何持节点 222 的账号可按 id 软删任意明细。③该动作的响应体为空（控制器未 return 模型结果，同 XZ-010 所述的 to_assign 机制），判定以库中 delete_time 为准。删除响应='{"code":0,"msg":"操作成功","action":"","url":"","data":[]}'</t>
        </is>
      </c>
      <c r="Q136" s="8" t="inlineStr">
        <is>
          <t>本次实测</t>
        </is>
      </c>
      <c r="R136" s="3" t="inlineStr">
        <is>
          <t>源码 SalaryRecords.php:115-139 delById() 末尾调用 $this-&gt;update_salary()；删除为软删除，update_salary 的 where 含 delete_time=0</t>
        </is>
      </c>
      <c r="S136" s="3" t="inlineStr"/>
    </row>
  </sheetData>
  <dataValidations count="1">
    <dataValidation sqref="K2:K136" showDropDown="0" showInputMessage="0" showErrorMessage="1" allowBlank="0" errorTitle="取值不合法" error="执行结果只能是 通过 / 失败 / 待执行 / 环境受限-范围外 四态之一；「环境受限-范围外」是独立第四态，不与通过/失败混算" type="list">
      <formula1>"通过,失败,待执行,环境受限-范围外"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</cols>
  <sheetData>
    <row r="1">
      <c r="A1" s="4" t="inlineStr">
        <is>
          <t>勾股OA 6.1.2 —— 测试用例统计汇总</t>
        </is>
      </c>
    </row>
    <row r="2">
      <c r="A2" t="inlineStr">
        <is>
          <t>生成时间</t>
        </is>
      </c>
      <c r="B2" t="inlineStr">
        <is>
          <t>2026-09-19 02:28:01</t>
        </is>
      </c>
    </row>
    <row r="3"/>
    <row r="4">
      <c r="A4" s="5" t="inlineStr">
        <is>
          <t>【总体】</t>
        </is>
      </c>
    </row>
    <row r="5">
      <c r="A5" t="inlineStr">
        <is>
          <t>用例总数</t>
        </is>
      </c>
      <c r="B5">
        <f>COUNTA('测试用例'!$A$2:$A$136)</f>
        <v/>
      </c>
      <c r="C5" t="inlineStr">
        <is>
          <t>公式统计，非硬编码</t>
        </is>
      </c>
    </row>
    <row r="6">
      <c r="A6" t="inlineStr">
        <is>
          <t>通过</t>
        </is>
      </c>
      <c r="B6" s="6">
        <f>COUNTIF('测试用例'!$K$2:$K$136,"通过")</f>
        <v/>
      </c>
    </row>
    <row r="7">
      <c r="A7" t="inlineStr">
        <is>
          <t>失败</t>
        </is>
      </c>
      <c r="B7" s="6">
        <f>COUNTIF('测试用例'!$K$2:$K$136,"失败")</f>
        <v/>
      </c>
    </row>
    <row r="8">
      <c r="A8" t="inlineStr">
        <is>
          <t>待执行</t>
        </is>
      </c>
      <c r="B8" s="6">
        <f>COUNTIF('测试用例'!$K$2:$K$136,"待执行")</f>
        <v/>
      </c>
    </row>
    <row r="9">
      <c r="A9" t="inlineStr">
        <is>
          <t>环境受限-范围外</t>
        </is>
      </c>
      <c r="B9" s="6">
        <f>COUNTIF('测试用例'!$K$2:$K$136,"环境受限-范围外")</f>
        <v/>
      </c>
      <c r="C9" t="inlineStr">
        <is>
          <t>独立第四态，不与通过/失败混算</t>
        </is>
      </c>
    </row>
    <row r="10">
      <c r="A10" t="inlineStr">
        <is>
          <t>已执行（通过+失败）</t>
        </is>
      </c>
      <c r="B10">
        <f>$B$6+$B$7</f>
        <v/>
      </c>
    </row>
    <row r="11">
      <c r="A11" t="inlineStr">
        <is>
          <t>执行率（已执行/总数）</t>
        </is>
      </c>
      <c r="B11" s="7">
        <f>IF($B$5=0,0,$B$10/$B$5)</f>
        <v/>
      </c>
      <c r="C11" t="inlineStr">
        <is>
          <t>未执行用例须逐条书面说明原因</t>
        </is>
      </c>
    </row>
    <row r="12">
      <c r="A12" t="inlineStr">
        <is>
          <t>通过率（含回填）</t>
        </is>
      </c>
      <c r="B12" s="7">
        <f>IF($B$10=0,0,$B$6/$B$10)</f>
        <v/>
      </c>
      <c r="C12" t="inlineStr">
        <is>
          <t>分母=已执行（通过+失败）；含 9 条「据既有证据回填」。⚠️ 该 9 条为 8 失败 + 1 通过，计入是**拉低**而非抬高通过率</t>
        </is>
      </c>
    </row>
    <row r="13">
      <c r="A13" t="inlineStr">
        <is>
          <t>通过率（仅本次实测）</t>
        </is>
      </c>
      <c r="B13" s="7">
        <f>IF(COUNTIFS('测试用例'!$Q$2:$Q$136,"本次实测")=0,0,COUNTIFS('测试用例'!$K$2:$K$136,"通过",'测试用例'!$Q$2:$Q$136,"本次实测")/COUNTIFS('测试用例'!$Q$2:$Q$136,"本次实测"))</f>
        <v/>
      </c>
      <c r="C13" t="inlineStr">
        <is>
          <t>分母=执行方式为「本次实测」的用例，剔除 9 条回填 —— 可信度分列的落点</t>
        </is>
      </c>
    </row>
    <row r="14"/>
    <row r="15">
      <c r="A15" s="5" t="inlineStr">
        <is>
          <t>【按执行方式】</t>
        </is>
      </c>
    </row>
    <row r="16">
      <c r="A16" t="inlineStr">
        <is>
          <t>本次实测</t>
        </is>
      </c>
      <c r="B16" s="6">
        <f>COUNTIF('测试用例'!$Q$2:$Q$136,"本次实测")</f>
        <v/>
      </c>
    </row>
    <row r="17">
      <c r="A17" t="inlineStr">
        <is>
          <t>据既有证据回填</t>
        </is>
      </c>
      <c r="B17" s="6">
        <f>COUNTIF('测试用例'!$Q$2:$Q$136,"据既有证据回填")</f>
        <v/>
      </c>
    </row>
    <row r="18">
      <c r="A18" t="inlineStr">
        <is>
          <t>未执行</t>
        </is>
      </c>
      <c r="B18" s="6">
        <f>COUNTIF('测试用例'!$Q$2:$Q$136,"未执行")</f>
        <v/>
      </c>
    </row>
    <row r="19">
      <c r="A19" t="inlineStr">
        <is>
          <t>合计（应=用例总数）</t>
        </is>
      </c>
      <c r="B19">
        <f>$B$16+$B$17+$B$18</f>
        <v/>
      </c>
      <c r="C19" t="inlineStr">
        <is>
          <t>用于校验执行方式列无缺失/无非法值</t>
        </is>
      </c>
    </row>
    <row r="20"/>
    <row r="21">
      <c r="A21" s="5" t="inlineStr">
        <is>
          <t>【按模块】</t>
        </is>
      </c>
    </row>
    <row r="22">
      <c r="A22" t="inlineStr">
        <is>
          <t>权限体系</t>
        </is>
      </c>
    </row>
    <row r="23">
      <c r="A23" t="inlineStr">
        <is>
          <t xml:space="preserve">  小计</t>
        </is>
      </c>
      <c r="B23" s="6">
        <f>COUNTIF('测试用例'!$B$2:$B$136,"权限体系")</f>
        <v/>
      </c>
    </row>
    <row r="24">
      <c r="A24" t="inlineStr">
        <is>
          <t xml:space="preserve">    通过</t>
        </is>
      </c>
      <c r="B24" s="6">
        <f>COUNTIFS('测试用例'!$B$2:$B$136,"权限体系",'测试用例'!$K$2:$K$136,"通过")</f>
        <v/>
      </c>
    </row>
    <row r="25">
      <c r="A25" t="inlineStr">
        <is>
          <t xml:space="preserve">    失败</t>
        </is>
      </c>
      <c r="B25" s="6">
        <f>COUNTIFS('测试用例'!$B$2:$B$136,"权限体系",'测试用例'!$K$2:$K$136,"失败")</f>
        <v/>
      </c>
    </row>
    <row r="26">
      <c r="A26" t="inlineStr">
        <is>
          <t xml:space="preserve">    待执行</t>
        </is>
      </c>
      <c r="B26" s="6">
        <f>COUNTIFS('测试用例'!$B$2:$B$136,"权限体系",'测试用例'!$K$2:$K$136,"待执行")</f>
        <v/>
      </c>
    </row>
    <row r="27">
      <c r="A27" t="inlineStr">
        <is>
          <t xml:space="preserve">    环境受限-范围外</t>
        </is>
      </c>
      <c r="B27" s="6">
        <f>COUNTIFS('测试用例'!$B$2:$B$136,"权限体系",'测试用例'!$K$2:$K$136,"环境受限-范围外")</f>
        <v/>
      </c>
    </row>
    <row r="28">
      <c r="A28" t="inlineStr">
        <is>
          <t>审批流</t>
        </is>
      </c>
    </row>
    <row r="29">
      <c r="A29" t="inlineStr">
        <is>
          <t xml:space="preserve">  小计</t>
        </is>
      </c>
      <c r="B29" s="6">
        <f>COUNTIF('测试用例'!$B$2:$B$136,"审批流")</f>
        <v/>
      </c>
    </row>
    <row r="30">
      <c r="A30" t="inlineStr">
        <is>
          <t xml:space="preserve">    通过</t>
        </is>
      </c>
      <c r="B30" s="6">
        <f>COUNTIFS('测试用例'!$B$2:$B$136,"审批流",'测试用例'!$K$2:$K$136,"通过")</f>
        <v/>
      </c>
    </row>
    <row r="31">
      <c r="A31" t="inlineStr">
        <is>
          <t xml:space="preserve">    失败</t>
        </is>
      </c>
      <c r="B31" s="6">
        <f>COUNTIFS('测试用例'!$B$2:$B$136,"审批流",'测试用例'!$K$2:$K$136,"失败")</f>
        <v/>
      </c>
    </row>
    <row r="32">
      <c r="A32" t="inlineStr">
        <is>
          <t xml:space="preserve">    待执行</t>
        </is>
      </c>
      <c r="B32" s="6">
        <f>COUNTIFS('测试用例'!$B$2:$B$136,"审批流",'测试用例'!$K$2:$K$136,"待执行")</f>
        <v/>
      </c>
    </row>
    <row r="33">
      <c r="A33" t="inlineStr">
        <is>
          <t xml:space="preserve">    环境受限-范围外</t>
        </is>
      </c>
      <c r="B33" s="6">
        <f>COUNTIFS('测试用例'!$B$2:$B$136,"审批流",'测试用例'!$K$2:$K$136,"环境受限-范围外")</f>
        <v/>
      </c>
    </row>
    <row r="34">
      <c r="A34" t="inlineStr">
        <is>
          <t>合同管理</t>
        </is>
      </c>
    </row>
    <row r="35">
      <c r="A35" t="inlineStr">
        <is>
          <t xml:space="preserve">  小计</t>
        </is>
      </c>
      <c r="B35" s="6">
        <f>COUNTIF('测试用例'!$B$2:$B$136,"合同管理")</f>
        <v/>
      </c>
    </row>
    <row r="36">
      <c r="A36" t="inlineStr">
        <is>
          <t xml:space="preserve">    通过</t>
        </is>
      </c>
      <c r="B36" s="6">
        <f>COUNTIFS('测试用例'!$B$2:$B$136,"合同管理",'测试用例'!$K$2:$K$136,"通过")</f>
        <v/>
      </c>
    </row>
    <row r="37">
      <c r="A37" t="inlineStr">
        <is>
          <t xml:space="preserve">    失败</t>
        </is>
      </c>
      <c r="B37" s="6">
        <f>COUNTIFS('测试用例'!$B$2:$B$136,"合同管理",'测试用例'!$K$2:$K$136,"失败")</f>
        <v/>
      </c>
    </row>
    <row r="38">
      <c r="A38" t="inlineStr">
        <is>
          <t xml:space="preserve">    待执行</t>
        </is>
      </c>
      <c r="B38" s="6">
        <f>COUNTIFS('测试用例'!$B$2:$B$136,"合同管理",'测试用例'!$K$2:$K$136,"待执行")</f>
        <v/>
      </c>
    </row>
    <row r="39">
      <c r="A39" t="inlineStr">
        <is>
          <t xml:space="preserve">    环境受限-范围外</t>
        </is>
      </c>
      <c r="B39" s="6">
        <f>COUNTIFS('测试用例'!$B$2:$B$136,"合同管理",'测试用例'!$K$2:$K$136,"环境受限-范围外")</f>
        <v/>
      </c>
    </row>
    <row r="40">
      <c r="A40" t="inlineStr">
        <is>
          <t>薪资管理</t>
        </is>
      </c>
    </row>
    <row r="41">
      <c r="A41" t="inlineStr">
        <is>
          <t xml:space="preserve">  小计</t>
        </is>
      </c>
      <c r="B41" s="6">
        <f>COUNTIF('测试用例'!$B$2:$B$136,"薪资管理")</f>
        <v/>
      </c>
    </row>
    <row r="42">
      <c r="A42" t="inlineStr">
        <is>
          <t xml:space="preserve">    通过</t>
        </is>
      </c>
      <c r="B42" s="6">
        <f>COUNTIFS('测试用例'!$B$2:$B$136,"薪资管理",'测试用例'!$K$2:$K$136,"通过")</f>
        <v/>
      </c>
    </row>
    <row r="43">
      <c r="A43" t="inlineStr">
        <is>
          <t xml:space="preserve">    失败</t>
        </is>
      </c>
      <c r="B43" s="6">
        <f>COUNTIFS('测试用例'!$B$2:$B$136,"薪资管理",'测试用例'!$K$2:$K$136,"失败")</f>
        <v/>
      </c>
    </row>
    <row r="44">
      <c r="A44" t="inlineStr">
        <is>
          <t xml:space="preserve">    待执行</t>
        </is>
      </c>
      <c r="B44" s="6">
        <f>COUNTIFS('测试用例'!$B$2:$B$136,"薪资管理",'测试用例'!$K$2:$K$136,"待执行")</f>
        <v/>
      </c>
    </row>
    <row r="45">
      <c r="A45" t="inlineStr">
        <is>
          <t xml:space="preserve">    环境受限-范围外</t>
        </is>
      </c>
      <c r="B45" s="6">
        <f>COUNTIFS('测试用例'!$B$2:$B$136,"薪资管理",'测试用例'!$K$2:$K$136,"环境受限-范围外")</f>
        <v/>
      </c>
    </row>
    <row r="46"/>
    <row r="47">
      <c r="A47" s="5" t="inlineStr">
        <is>
          <t>【按优先级】</t>
        </is>
      </c>
    </row>
    <row r="48">
      <c r="A48" t="inlineStr">
        <is>
          <t>高</t>
        </is>
      </c>
      <c r="B48">
        <f>COUNTIF('测试用例'!$H$2:$H$136,"高")</f>
        <v/>
      </c>
    </row>
    <row r="49">
      <c r="A49" t="inlineStr">
        <is>
          <t>中</t>
        </is>
      </c>
      <c r="B49">
        <f>COUNTIF('测试用例'!$H$2:$H$136,"中")</f>
        <v/>
      </c>
    </row>
    <row r="50">
      <c r="A50" t="inlineStr">
        <is>
          <t>低</t>
        </is>
      </c>
      <c r="B50">
        <f>COUNTIF('测试用例'!$H$2:$H$136,"低")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 test project</dc:creator>
  <dcterms:created xmlns:dcterms="http://purl.org/dc/terms/" xmlns:xsi="http://www.w3.org/2001/XMLSchema-instance" xsi:type="dcterms:W3CDTF">2026-09-18T18:28:01Z</dcterms:created>
  <dcterms:modified xmlns:dcterms="http://purl.org/dc/terms/" xmlns:xsi="http://www.w3.org/2001/XMLSchema-instance" xsi:type="dcterms:W3CDTF">2026-10-31T02:35:25Z</dcterms:modified>
  <cp:lastModifiedBy>OA test project</cp:lastModifiedBy>
</cp:coreProperties>
</file>